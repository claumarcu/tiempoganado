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8_{CAC19D8C-30EA-4B1D-B9AE-0C6B0D32C0F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Hoja1!$A$1:$Y$698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1693" i="1"/>
  <c r="C1685" i="1"/>
  <c r="C1684" i="1"/>
  <c r="C1683" i="1"/>
  <c r="C1677" i="1"/>
  <c r="C1667" i="1"/>
  <c r="C1663" i="1"/>
  <c r="C1661" i="1"/>
  <c r="C1659" i="1"/>
  <c r="C1656" i="1"/>
  <c r="C1655" i="1"/>
  <c r="C1650" i="1"/>
  <c r="C1649" i="1"/>
  <c r="C1648" i="1"/>
  <c r="C1646" i="1"/>
  <c r="C1631" i="1"/>
  <c r="C1630" i="1"/>
  <c r="C1615" i="1"/>
  <c r="C1596" i="1"/>
  <c r="C1595" i="1"/>
  <c r="C1591" i="1"/>
  <c r="C1588" i="1"/>
  <c r="C1581" i="1"/>
  <c r="C1571" i="1"/>
  <c r="C1570" i="1"/>
  <c r="C1562" i="1"/>
  <c r="C1500" i="1"/>
  <c r="C1499" i="1"/>
  <c r="C1495" i="1"/>
  <c r="C1489" i="1"/>
  <c r="C1474" i="1"/>
  <c r="C1448" i="1"/>
  <c r="C1443" i="1"/>
  <c r="C1428" i="1"/>
  <c r="C1408" i="1"/>
  <c r="C1399" i="1"/>
  <c r="C1389" i="1"/>
  <c r="C1384" i="1"/>
  <c r="C1382" i="1"/>
  <c r="C1377" i="1"/>
  <c r="C1375" i="1"/>
  <c r="C1368" i="1"/>
  <c r="C1364" i="1"/>
  <c r="C1347" i="1"/>
  <c r="C1343" i="1"/>
  <c r="C1342" i="1"/>
  <c r="C1341" i="1"/>
  <c r="C1340" i="1"/>
  <c r="C1331" i="1"/>
  <c r="C1330" i="1"/>
  <c r="C1322" i="1"/>
  <c r="C1316" i="1"/>
  <c r="C1312" i="1"/>
  <c r="C1306" i="1"/>
  <c r="C1281" i="1"/>
  <c r="C1276" i="1"/>
  <c r="C1270" i="1"/>
  <c r="C1239" i="1"/>
  <c r="C1233" i="1"/>
  <c r="C1231" i="1"/>
  <c r="C1229" i="1"/>
  <c r="C1223" i="1"/>
  <c r="B1218" i="1"/>
  <c r="C1217" i="1"/>
  <c r="C1215" i="1"/>
  <c r="C1213" i="1"/>
  <c r="C1211" i="1"/>
  <c r="C1207" i="1"/>
  <c r="C1197" i="1"/>
  <c r="C1178" i="1"/>
  <c r="C1177" i="1"/>
  <c r="C1174" i="1"/>
  <c r="C1168" i="1"/>
  <c r="A1162" i="1"/>
  <c r="C1136" i="1"/>
  <c r="C1131" i="1"/>
  <c r="C1121" i="1"/>
  <c r="C1119" i="1"/>
  <c r="C1113" i="1"/>
  <c r="C1112" i="1"/>
  <c r="C1106" i="1"/>
  <c r="C1103" i="1"/>
  <c r="C1089" i="1"/>
  <c r="C1082" i="1"/>
  <c r="C1072" i="1"/>
  <c r="C1071" i="1"/>
  <c r="C1069" i="1"/>
  <c r="C1068" i="1"/>
  <c r="B1068" i="1"/>
  <c r="C1060" i="1"/>
  <c r="C1055" i="1"/>
  <c r="C1054" i="1"/>
  <c r="C1048" i="1"/>
  <c r="C1042" i="1"/>
  <c r="C1028" i="1"/>
  <c r="C1027" i="1"/>
  <c r="C1025" i="1"/>
  <c r="C1020" i="1"/>
  <c r="C1015" i="1"/>
  <c r="C1012" i="1"/>
  <c r="C1006" i="1"/>
  <c r="C1003" i="1"/>
  <c r="C991" i="1"/>
  <c r="B991" i="1"/>
  <c r="C990" i="1"/>
  <c r="C988" i="1"/>
  <c r="C984" i="1"/>
  <c r="C972" i="1"/>
  <c r="C946" i="1"/>
  <c r="C942" i="1"/>
  <c r="C930" i="1"/>
  <c r="C928" i="1"/>
  <c r="C926" i="1"/>
  <c r="C925" i="1"/>
  <c r="C924" i="1"/>
  <c r="C923" i="1"/>
  <c r="C904" i="1"/>
  <c r="C881" i="1"/>
  <c r="B874" i="1"/>
  <c r="C847" i="1"/>
  <c r="C839" i="1"/>
  <c r="C833" i="1"/>
  <c r="C831" i="1"/>
  <c r="C808" i="1"/>
  <c r="C804" i="1"/>
  <c r="C803" i="1"/>
  <c r="C798" i="1"/>
  <c r="C790" i="1"/>
  <c r="C784" i="1"/>
  <c r="C779" i="1"/>
  <c r="C778" i="1"/>
  <c r="C776" i="1"/>
  <c r="C775" i="1"/>
  <c r="C774" i="1"/>
  <c r="C769" i="1"/>
  <c r="C762" i="1"/>
  <c r="C761" i="1"/>
  <c r="B756" i="1"/>
  <c r="C755" i="1"/>
  <c r="C745" i="1"/>
  <c r="C744" i="1"/>
  <c r="C738" i="1"/>
  <c r="C731" i="1"/>
  <c r="C730" i="1"/>
  <c r="C716" i="1"/>
  <c r="C713" i="1"/>
  <c r="C712" i="1"/>
  <c r="C701" i="1"/>
  <c r="C698" i="1"/>
  <c r="C669" i="1"/>
  <c r="C668" i="1"/>
  <c r="C658" i="1"/>
  <c r="C657" i="1"/>
  <c r="C651" i="1"/>
  <c r="C647" i="1"/>
  <c r="C645" i="1"/>
  <c r="C619" i="1"/>
  <c r="C607" i="1"/>
  <c r="C606" i="1"/>
  <c r="C601" i="1"/>
  <c r="C575" i="1"/>
  <c r="C574" i="1"/>
  <c r="C571" i="1"/>
  <c r="C568" i="1"/>
  <c r="C567" i="1"/>
  <c r="C566" i="1"/>
  <c r="C556" i="1"/>
  <c r="C544" i="1"/>
  <c r="C537" i="1"/>
  <c r="C531" i="1"/>
  <c r="C513" i="1"/>
  <c r="C511" i="1"/>
  <c r="C506" i="1"/>
  <c r="C504" i="1"/>
  <c r="C503" i="1"/>
  <c r="C502" i="1"/>
  <c r="C490" i="1"/>
  <c r="C483" i="1"/>
  <c r="C476" i="1"/>
  <c r="C475" i="1"/>
  <c r="C453" i="1"/>
  <c r="C446" i="1"/>
  <c r="C445" i="1"/>
  <c r="C443" i="1"/>
  <c r="C434" i="1"/>
  <c r="C433" i="1"/>
  <c r="C424" i="1"/>
  <c r="C423" i="1"/>
  <c r="C420" i="1"/>
  <c r="C414" i="1"/>
  <c r="C413" i="1"/>
  <c r="C412" i="1"/>
  <c r="C408" i="1"/>
  <c r="C404" i="1"/>
  <c r="C401" i="1"/>
  <c r="C398" i="1"/>
  <c r="C367" i="1"/>
  <c r="C364" i="1"/>
  <c r="B362" i="1"/>
  <c r="C356" i="1"/>
  <c r="C348" i="1"/>
  <c r="C347" i="1"/>
  <c r="C342" i="1"/>
  <c r="C339" i="1"/>
  <c r="C310" i="1"/>
  <c r="C303" i="1"/>
  <c r="C297" i="1"/>
  <c r="C295" i="1"/>
  <c r="C284" i="1"/>
  <c r="C281" i="1"/>
  <c r="C280" i="1"/>
  <c r="C277" i="1"/>
  <c r="C264" i="1"/>
  <c r="C262" i="1"/>
  <c r="C261" i="1"/>
  <c r="C253" i="1"/>
  <c r="C249" i="1"/>
  <c r="C247" i="1"/>
  <c r="C240" i="1"/>
  <c r="C229" i="1"/>
  <c r="C225" i="1"/>
  <c r="C218" i="1"/>
  <c r="C216" i="1"/>
  <c r="C211" i="1"/>
  <c r="C210" i="1"/>
  <c r="C206" i="1"/>
  <c r="C201" i="1"/>
  <c r="C194" i="1"/>
  <c r="C190" i="1"/>
  <c r="C186" i="1"/>
  <c r="C163" i="1"/>
  <c r="C158" i="1"/>
  <c r="C149" i="1"/>
  <c r="C144" i="1"/>
  <c r="C137" i="1"/>
  <c r="C121" i="1"/>
  <c r="C103" i="1"/>
  <c r="C100" i="1"/>
  <c r="C91" i="1"/>
  <c r="C89" i="1"/>
  <c r="C88" i="1"/>
  <c r="C83" i="1"/>
  <c r="C80" i="1"/>
  <c r="C79" i="1"/>
  <c r="C78" i="1"/>
  <c r="C72" i="1"/>
  <c r="C70" i="1"/>
  <c r="C69" i="1"/>
  <c r="C64" i="1"/>
  <c r="C63" i="1"/>
  <c r="C57" i="1"/>
  <c r="C48" i="1"/>
  <c r="C36" i="1"/>
  <c r="C14" i="1"/>
</calcChain>
</file>

<file path=xl/sharedStrings.xml><?xml version="1.0" encoding="utf-8"?>
<sst xmlns="http://schemas.openxmlformats.org/spreadsheetml/2006/main" count="4121" uniqueCount="2405">
  <si>
    <t>NOMBRE</t>
  </si>
  <si>
    <t>CELULAR</t>
  </si>
  <si>
    <t>MAIL</t>
  </si>
  <si>
    <t>BASICO</t>
  </si>
  <si>
    <t>BASICO INT</t>
  </si>
  <si>
    <t>NIVEL II</t>
  </si>
  <si>
    <t>NIVEL III</t>
  </si>
  <si>
    <t>PHOTOS I</t>
  </si>
  <si>
    <t>PHOTOS II</t>
  </si>
  <si>
    <t>PHOTOS 3</t>
  </si>
  <si>
    <t>PHOTOS ByN</t>
  </si>
  <si>
    <t>Photoshop Pieles</t>
  </si>
  <si>
    <t xml:space="preserve">JORNADA ROD.  </t>
  </si>
  <si>
    <t>PROYECTO</t>
  </si>
  <si>
    <t>LA MIRADA</t>
  </si>
  <si>
    <t>POETICAS</t>
  </si>
  <si>
    <t>LR</t>
  </si>
  <si>
    <t>Abel Gomez</t>
  </si>
  <si>
    <t>abelg608@gmail.com</t>
  </si>
  <si>
    <t>Mayo 23</t>
  </si>
  <si>
    <t>Junio 23</t>
  </si>
  <si>
    <t>Abi Cima</t>
  </si>
  <si>
    <t>Abril 25</t>
  </si>
  <si>
    <t>Mayo 25</t>
  </si>
  <si>
    <t>Junio 25</t>
  </si>
  <si>
    <t>Adela Rizzolli</t>
  </si>
  <si>
    <t>154044-6018</t>
  </si>
  <si>
    <t>adelarizzolli@gmail.com</t>
  </si>
  <si>
    <t>Adrian Cavallaro</t>
  </si>
  <si>
    <t>Abril 24</t>
  </si>
  <si>
    <t>Mayo 24</t>
  </si>
  <si>
    <t>Junio 24</t>
  </si>
  <si>
    <t>Adrian Gaitan</t>
  </si>
  <si>
    <t>adriburza@hotmail.com</t>
  </si>
  <si>
    <t>Enero 23</t>
  </si>
  <si>
    <t>Julio 23</t>
  </si>
  <si>
    <t>Adrian Larcamon</t>
  </si>
  <si>
    <t>11 6722 4784</t>
  </si>
  <si>
    <t>elmonoliso@gmail.com</t>
  </si>
  <si>
    <t>Jun 21 online</t>
  </si>
  <si>
    <t>Adriana Balcarce</t>
  </si>
  <si>
    <t>11 5101 4190</t>
  </si>
  <si>
    <t>Adriana Bauab</t>
  </si>
  <si>
    <t>17 4927 2975</t>
  </si>
  <si>
    <t>adribauab@gmail.com</t>
  </si>
  <si>
    <t>Ene 21</t>
  </si>
  <si>
    <t>Adriana Caprari</t>
  </si>
  <si>
    <t>adriana.caprari@gmail.com</t>
  </si>
  <si>
    <t>Adriana Chillo</t>
  </si>
  <si>
    <t>Julio 24</t>
  </si>
  <si>
    <t>Agosto 24</t>
  </si>
  <si>
    <t>Sept 24</t>
  </si>
  <si>
    <t>Adriana Cordoba</t>
  </si>
  <si>
    <t>adricor_a@hotmail.com</t>
  </si>
  <si>
    <t>Agosto 20 online</t>
  </si>
  <si>
    <t>Sept 20 online</t>
  </si>
  <si>
    <t>Oct 20 online</t>
  </si>
  <si>
    <t>Adriana Cuesta Suarez</t>
  </si>
  <si>
    <t>17 3595 5586</t>
  </si>
  <si>
    <t>anacuestasuarez@yahoo.com.ar</t>
  </si>
  <si>
    <t>Adriana Daher</t>
  </si>
  <si>
    <t>17 55937700</t>
  </si>
  <si>
    <t>adri.daher@gmail.com</t>
  </si>
  <si>
    <t>Agos 21</t>
  </si>
  <si>
    <t>Adriana Nenadovik</t>
  </si>
  <si>
    <t>Marzo 25</t>
  </si>
  <si>
    <t>Adriana Olivares</t>
  </si>
  <si>
    <t>Agosto 23</t>
  </si>
  <si>
    <t>Sept 23</t>
  </si>
  <si>
    <t>Adriana Sol</t>
  </si>
  <si>
    <t>soladria@gmail.com</t>
  </si>
  <si>
    <t>Abril 21 online</t>
  </si>
  <si>
    <t>Junio 21 online</t>
  </si>
  <si>
    <t>Julio 21 online</t>
  </si>
  <si>
    <t>Sept 21 online</t>
  </si>
  <si>
    <t>Abril 23</t>
  </si>
  <si>
    <t>Agustin Buldo</t>
  </si>
  <si>
    <t>agustincrevatin@gmail.com</t>
  </si>
  <si>
    <t>Agustín Castro</t>
  </si>
  <si>
    <t>agustingcastro@hotmail.com</t>
  </si>
  <si>
    <t>Sept 19</t>
  </si>
  <si>
    <t>Agustin Romero</t>
  </si>
  <si>
    <t>Enero 25</t>
  </si>
  <si>
    <t>Agustina Castañon</t>
  </si>
  <si>
    <t>castanon.agustina@gmail.com</t>
  </si>
  <si>
    <t>Agustina Liendo</t>
  </si>
  <si>
    <t>aguspaula00@gmail.com</t>
  </si>
  <si>
    <t>Agustina Melo</t>
  </si>
  <si>
    <t>236-154303074</t>
  </si>
  <si>
    <t>agustinamelo87@gmail.com</t>
  </si>
  <si>
    <t>Agos 19</t>
  </si>
  <si>
    <t>Nov 20 online</t>
  </si>
  <si>
    <t>Agustina Sicoli</t>
  </si>
  <si>
    <t>agustinascicoliok@gmail.com</t>
  </si>
  <si>
    <t>Enero 24</t>
  </si>
  <si>
    <t>Agustina Spinelli</t>
  </si>
  <si>
    <t>s3.agustina@gmail.com</t>
  </si>
  <si>
    <t>Agustina Wortman Jofre</t>
  </si>
  <si>
    <t>Alanis Gustavo Ceferino</t>
  </si>
  <si>
    <t>gusalaniz@hotmail.com</t>
  </si>
  <si>
    <t>octubre 21 online</t>
  </si>
  <si>
    <t>enero 23</t>
  </si>
  <si>
    <t>Albert Feifer</t>
  </si>
  <si>
    <t>agenda</t>
  </si>
  <si>
    <t xml:space="preserve"> 17855731 dni</t>
  </si>
  <si>
    <t>Alberto Crincoli</t>
  </si>
  <si>
    <t>Alberto Ferreira</t>
  </si>
  <si>
    <t>Alberto Sosa</t>
  </si>
  <si>
    <t xml:space="preserve"> rasartphotography@gmail.com</t>
  </si>
  <si>
    <t>Febrero 23</t>
  </si>
  <si>
    <t>Octubre 22</t>
  </si>
  <si>
    <t>Alcira González</t>
  </si>
  <si>
    <t>impresionescameleon@gmail.com</t>
  </si>
  <si>
    <t>Aldana Fernández</t>
  </si>
  <si>
    <t>15-6571-1058</t>
  </si>
  <si>
    <t>Aldana Ghioldi</t>
  </si>
  <si>
    <t>15 6372 5163</t>
  </si>
  <si>
    <t>alchu_26@hotmail.com</t>
  </si>
  <si>
    <t>Aldana Quintana</t>
  </si>
  <si>
    <t>Ale de Larrañaga</t>
  </si>
  <si>
    <t>Alejandra Bazán</t>
  </si>
  <si>
    <t>bazanalejandra@hotmail.com</t>
  </si>
  <si>
    <t>Alejandra Cultrera</t>
  </si>
  <si>
    <t>Febrero 24</t>
  </si>
  <si>
    <t>Marzo 24</t>
  </si>
  <si>
    <t>Alejandra Dina Cordoba</t>
  </si>
  <si>
    <t>alejandracordoba94@gmail.com</t>
  </si>
  <si>
    <t>Alejandra Escudero</t>
  </si>
  <si>
    <t>15 57662896</t>
  </si>
  <si>
    <t>Alejandra Gonzalez</t>
  </si>
  <si>
    <t>Alejandra Ibañez</t>
  </si>
  <si>
    <t>ibaniezalejandra@gmail.com</t>
  </si>
  <si>
    <t>Sept 18</t>
  </si>
  <si>
    <t>Alejandra Ines Cultrera</t>
  </si>
  <si>
    <t>aleines_cultrera@hotmail.com</t>
  </si>
  <si>
    <t>Sept-15</t>
  </si>
  <si>
    <t>Alejandra Larricart</t>
  </si>
  <si>
    <t>Alejandralarricart626@gmail.com</t>
  </si>
  <si>
    <t>Alejandra Lopez</t>
  </si>
  <si>
    <t>15 36440992</t>
  </si>
  <si>
    <t>Alejandra Ondarts</t>
  </si>
  <si>
    <t>Alejandra Otero</t>
  </si>
  <si>
    <t>oteroa544@gmail.com</t>
  </si>
  <si>
    <t>Julio 22</t>
  </si>
  <si>
    <t>Alejandra Rabaglia</t>
  </si>
  <si>
    <t>arabaglia@hotmail.com</t>
  </si>
  <si>
    <t>Alejandra Ramos</t>
  </si>
  <si>
    <t>alemarikena@hotmail.com</t>
  </si>
  <si>
    <t>Alejandra Rebagliati</t>
  </si>
  <si>
    <t>marebagliati@yahoo.com.ar</t>
  </si>
  <si>
    <t>Alejandra Rojas</t>
  </si>
  <si>
    <t>15 3838 3741</t>
  </si>
  <si>
    <t xml:space="preserve">Alejandra Villers                           </t>
  </si>
  <si>
    <t>15 6742 4942</t>
  </si>
  <si>
    <t>Alejandro Acuña</t>
  </si>
  <si>
    <t>almami35@hotmail.com</t>
  </si>
  <si>
    <t>Alejandro Bustamante</t>
  </si>
  <si>
    <t>Alejandro Cabrera</t>
  </si>
  <si>
    <t>alejandrocabrera11@hotmail.com</t>
  </si>
  <si>
    <t>Marzo 23</t>
  </si>
  <si>
    <t>Alejandro Corsico</t>
  </si>
  <si>
    <t>Alejandro Ferraro</t>
  </si>
  <si>
    <t>aferraro44@yahoo.com.ar</t>
  </si>
  <si>
    <t>Octubre 23</t>
  </si>
  <si>
    <t>Alejandro Figueroa</t>
  </si>
  <si>
    <t>alejofigo@hotmail.com</t>
  </si>
  <si>
    <t>Alejandro Gonzalez Alzaga</t>
  </si>
  <si>
    <t>15 5939 6246</t>
  </si>
  <si>
    <t>Alejandro Incarbone</t>
  </si>
  <si>
    <t>Alejandro Mori</t>
  </si>
  <si>
    <t>Alejandro San Juan</t>
  </si>
  <si>
    <t>156 933 6934</t>
  </si>
  <si>
    <t>alejsj@yahoo.com.ar</t>
  </si>
  <si>
    <t>Alejandro Taborda</t>
  </si>
  <si>
    <t>Alessandra Giabbani</t>
  </si>
  <si>
    <t>Alexandra García</t>
  </si>
  <si>
    <t>badaale@gmail.com</t>
  </si>
  <si>
    <t>Ene - 17</t>
  </si>
  <si>
    <t>Alexandru Filimon</t>
  </si>
  <si>
    <t>Alexia</t>
  </si>
  <si>
    <t>Alfredo Gargano</t>
  </si>
  <si>
    <t>Alfredo suaya</t>
  </si>
  <si>
    <t>Alfredo Svarzchtein</t>
  </si>
  <si>
    <t>alfregacedo@gmail.com</t>
  </si>
  <si>
    <t>Alicia Hendler</t>
  </si>
  <si>
    <t>15 4178 7110</t>
  </si>
  <si>
    <t>Alicia Madeo</t>
  </si>
  <si>
    <t>15-6056-7879</t>
  </si>
  <si>
    <t>aliciamadeo@yahoo.com.ar</t>
  </si>
  <si>
    <t>Alicia Miranda</t>
  </si>
  <si>
    <t>amirand@intramed.net</t>
  </si>
  <si>
    <t>Alicia Mora</t>
  </si>
  <si>
    <t>Alicia Perednik</t>
  </si>
  <si>
    <t>estudioaap@hotmail.com</t>
  </si>
  <si>
    <t>Feb 22 online</t>
  </si>
  <si>
    <t>Alicia Sosa</t>
  </si>
  <si>
    <t>Alma Valdez</t>
  </si>
  <si>
    <t>almavaldez22@gmail.com</t>
  </si>
  <si>
    <t>Alvaro Azzimonti</t>
  </si>
  <si>
    <t>15 3778 0886</t>
  </si>
  <si>
    <t>alvaroyanuk@gmail.com</t>
  </si>
  <si>
    <t>Amalia Gerpe</t>
  </si>
  <si>
    <t>15 6483 2644</t>
  </si>
  <si>
    <t>Amalia Guerrero</t>
  </si>
  <si>
    <t>guerreroamalia25@gmail.com</t>
  </si>
  <si>
    <t>Amira Erhart</t>
  </si>
  <si>
    <t>amitaerhart@yahoo.com</t>
  </si>
  <si>
    <t>Ana Corsiglia</t>
  </si>
  <si>
    <t>15 6290 2863</t>
  </si>
  <si>
    <t xml:space="preserve">Ana Fossa </t>
  </si>
  <si>
    <t>11 4971 3310</t>
  </si>
  <si>
    <t>anafossa@gmail.com</t>
  </si>
  <si>
    <t>Marzo 21 online</t>
  </si>
  <si>
    <t>Ana Giusti</t>
  </si>
  <si>
    <t>agiusti2@gmail.com</t>
  </si>
  <si>
    <t>Agosto 21 online</t>
  </si>
  <si>
    <t>Ana Gonzalez</t>
  </si>
  <si>
    <t>gonzalezz.ana02@gmail.com</t>
  </si>
  <si>
    <t>Ana Hernandez</t>
  </si>
  <si>
    <t>ana.gonzalez.montaner@gmail.com</t>
  </si>
  <si>
    <t>nov 21 online</t>
  </si>
  <si>
    <t>Ana Landriel</t>
  </si>
  <si>
    <t>analandriel@hotmail.com</t>
  </si>
  <si>
    <t>Ana María Rosales</t>
  </si>
  <si>
    <t xml:space="preserve">Ana María Rosales </t>
  </si>
  <si>
    <t>Ana Planker</t>
  </si>
  <si>
    <t>plankerana@yahoo.com.ar</t>
  </si>
  <si>
    <t>Ana Rodriguez</t>
  </si>
  <si>
    <t>15 4498 1836</t>
  </si>
  <si>
    <t>Anna_rodriguez@fibertel.com.ar</t>
  </si>
  <si>
    <t>Ana Shrimer</t>
  </si>
  <si>
    <t>Ana Suazo</t>
  </si>
  <si>
    <t>suazosoledad88@gmail.com</t>
  </si>
  <si>
    <t>Ana Tessler</t>
  </si>
  <si>
    <t>anate1406@gmail.com</t>
  </si>
  <si>
    <t>oct 20 online</t>
  </si>
  <si>
    <t>nov 20 online</t>
  </si>
  <si>
    <t xml:space="preserve">Ana Tessler </t>
  </si>
  <si>
    <t xml:space="preserve">Anabel Fontela </t>
  </si>
  <si>
    <t>Anabel Martinez</t>
  </si>
  <si>
    <t xml:space="preserve">Anabel Martinez </t>
  </si>
  <si>
    <t>Anabela Fiorenza</t>
  </si>
  <si>
    <t>15 6354 8122</t>
  </si>
  <si>
    <t>anabelafiorenza@gmail.com</t>
  </si>
  <si>
    <t>Anahi Lanzoni</t>
  </si>
  <si>
    <t>Anahí Lanzoni</t>
  </si>
  <si>
    <t>anai.lanzoni@gmail.com</t>
  </si>
  <si>
    <t>Marzo 22 online</t>
  </si>
  <si>
    <t>Anahi Luna</t>
  </si>
  <si>
    <t>anahi_luna22@hotmail.com</t>
  </si>
  <si>
    <t>Analía Duffo</t>
  </si>
  <si>
    <t>Analia Galvan</t>
  </si>
  <si>
    <t>Analia Scaglione</t>
  </si>
  <si>
    <t>analiascaglione@hotmail.com.ar</t>
  </si>
  <si>
    <t>Andrea  Mindreau</t>
  </si>
  <si>
    <t>mindreau.andrea@gmail.com</t>
  </si>
  <si>
    <t>mayo 16</t>
  </si>
  <si>
    <t>Julio 16</t>
  </si>
  <si>
    <t>Andrea Abad</t>
  </si>
  <si>
    <t>anechuda@hotmail.com</t>
  </si>
  <si>
    <t>Febr 20 online</t>
  </si>
  <si>
    <t>Mayo 21 online</t>
  </si>
  <si>
    <t>Andrea Banega</t>
  </si>
  <si>
    <t>Andrea Canepari</t>
  </si>
  <si>
    <t>15 38070922</t>
  </si>
  <si>
    <t>Andrea Etulain</t>
  </si>
  <si>
    <t>Andrea Franco</t>
  </si>
  <si>
    <t>Andreafrancoy11@gmail.com</t>
  </si>
  <si>
    <t>Agosto 22</t>
  </si>
  <si>
    <t>Septiembre 22</t>
  </si>
  <si>
    <t>Andrea Kranevitter</t>
  </si>
  <si>
    <t>15 5563 6440</t>
  </si>
  <si>
    <t>andreakra@uolsinectis.com.ar</t>
  </si>
  <si>
    <t>Andrea Mata Bello</t>
  </si>
  <si>
    <t>a.mata@ilyg.com.ar</t>
  </si>
  <si>
    <t>Sept 21 ONLINE</t>
  </si>
  <si>
    <t xml:space="preserve">Andrea Morán </t>
  </si>
  <si>
    <t xml:space="preserve">Andrea Müller </t>
  </si>
  <si>
    <t>Andrea Nader</t>
  </si>
  <si>
    <t>andreanader_rx@yahoo.com</t>
  </si>
  <si>
    <t>Andrea Nagy</t>
  </si>
  <si>
    <t>andreagesell@hotmail.com</t>
  </si>
  <si>
    <t>Andrea Rios</t>
  </si>
  <si>
    <t>andrearios83@outlook.es</t>
  </si>
  <si>
    <t>Andrea Rodriguez</t>
  </si>
  <si>
    <t>rodriguez.sa@hotmail.com</t>
  </si>
  <si>
    <t>Andres Bombardieri</t>
  </si>
  <si>
    <t xml:space="preserve">Andres Julian Rey </t>
  </si>
  <si>
    <t>arey1975@gmail.com</t>
  </si>
  <si>
    <t>Andrés Kratzer</t>
  </si>
  <si>
    <t>3487 15566529</t>
  </si>
  <si>
    <t>andres_kai@hotmail.es</t>
  </si>
  <si>
    <t>Andrés Rodriguez</t>
  </si>
  <si>
    <t>maximoandresrodriguez84@gmail.com</t>
  </si>
  <si>
    <t>Mayo 22</t>
  </si>
  <si>
    <t>Junio 22</t>
  </si>
  <si>
    <t>Andres Sola</t>
  </si>
  <si>
    <t>andressola@hotmail.com</t>
  </si>
  <si>
    <t>Andy Gioyosa</t>
  </si>
  <si>
    <t>gioyosaandrea@hotmail.com</t>
  </si>
  <si>
    <t>Angie Beorlegui</t>
  </si>
  <si>
    <t>02346-15481828</t>
  </si>
  <si>
    <t>angiebeorlegui@gmail.com</t>
  </si>
  <si>
    <t>Angie Sparrow</t>
  </si>
  <si>
    <t>distribuidoradefarmacias@outlook.com.ar</t>
  </si>
  <si>
    <t>Anibal Bel</t>
  </si>
  <si>
    <t>anibal.bel@gmail.com</t>
  </si>
  <si>
    <t>Anita Mourino</t>
  </si>
  <si>
    <t>15 6948 7467</t>
  </si>
  <si>
    <t>Anny Mildred</t>
  </si>
  <si>
    <t>Anshie Aguilar</t>
  </si>
  <si>
    <t>anshie@live.com</t>
  </si>
  <si>
    <t xml:space="preserve">Antonela Aurilio </t>
  </si>
  <si>
    <t>antonelaausilio@gmail.com</t>
  </si>
  <si>
    <t>Ago 17</t>
  </si>
  <si>
    <t>Antonella Soria</t>
  </si>
  <si>
    <t>antonellasoria259@gmail.com</t>
  </si>
  <si>
    <t>Antonella Viola</t>
  </si>
  <si>
    <t>15 3421 6444</t>
  </si>
  <si>
    <t>Araceli Natalucci</t>
  </si>
  <si>
    <t>aracelisnatalucci@gmail.com</t>
  </si>
  <si>
    <t>Ariel Balbuena</t>
  </si>
  <si>
    <t>jose.ariel.balbuena.jab@gmail.com</t>
  </si>
  <si>
    <t>Ariel Barbeito</t>
  </si>
  <si>
    <t>Ariel Chaufan</t>
  </si>
  <si>
    <t>Ariel Chavez</t>
  </si>
  <si>
    <t>arielchavez2004@hotmail.com</t>
  </si>
  <si>
    <t>Ariel Latuf</t>
  </si>
  <si>
    <t>Ariel Trabanco</t>
  </si>
  <si>
    <t>atrabanco@hotmail.com</t>
  </si>
  <si>
    <t>Arturo Huergo</t>
  </si>
  <si>
    <t>Aylen Sodini</t>
  </si>
  <si>
    <t>aylensodini@gmsil.com</t>
  </si>
  <si>
    <t>Barbara Marina</t>
  </si>
  <si>
    <t>Bea Aguilar</t>
  </si>
  <si>
    <t>Bea Neto</t>
  </si>
  <si>
    <t>Beatriz Ester Facciano</t>
  </si>
  <si>
    <t>beafaccao@gmail.com</t>
  </si>
  <si>
    <t>Beatriz Herrera</t>
  </si>
  <si>
    <t>Beatriz Kaufman</t>
  </si>
  <si>
    <t>Beatriz Neto</t>
  </si>
  <si>
    <t>beaneto@hotmail.com</t>
  </si>
  <si>
    <t xml:space="preserve">Belen Andreoni </t>
  </si>
  <si>
    <t>Belen Cervo</t>
  </si>
  <si>
    <t>petty2006_93@hotmail.com</t>
  </si>
  <si>
    <t xml:space="preserve">Belén Menini </t>
  </si>
  <si>
    <t>15 3295 7534</t>
  </si>
  <si>
    <t>mbbelu@hotmail.com</t>
  </si>
  <si>
    <t>Belen Montegriffo</t>
  </si>
  <si>
    <t>Belu.cony@gmail.com</t>
  </si>
  <si>
    <t>Belen Moyano</t>
  </si>
  <si>
    <t>15 4928 2430</t>
  </si>
  <si>
    <t>Belén Troncoso</t>
  </si>
  <si>
    <t>Betina Del Valle Azugna</t>
  </si>
  <si>
    <t>azugnabetina@gmail.com</t>
  </si>
  <si>
    <t>Ene 18</t>
  </si>
  <si>
    <t>Betina Polliotto</t>
  </si>
  <si>
    <t>bpolliotto@gmail.com</t>
  </si>
  <si>
    <t>Bibiana Rodriguez</t>
  </si>
  <si>
    <t xml:space="preserve">15 5653 3660   </t>
  </si>
  <si>
    <t>Brenda Bianchi</t>
  </si>
  <si>
    <t xml:space="preserve">Brenda Bianchi </t>
  </si>
  <si>
    <t>Brenda Salgueiro</t>
  </si>
  <si>
    <t>155817 8013</t>
  </si>
  <si>
    <t>bren.salgueiro@gmail.com</t>
  </si>
  <si>
    <t>Bruno Cecconi</t>
  </si>
  <si>
    <t>brunomartincecconi@gmail.com</t>
  </si>
  <si>
    <t>Camila Ayelen Parodi</t>
  </si>
  <si>
    <t>15 3785 9549</t>
  </si>
  <si>
    <t>Camila Bontá</t>
  </si>
  <si>
    <t>15.6000.0944</t>
  </si>
  <si>
    <t>camilabonta99@gmail.com</t>
  </si>
  <si>
    <t>Ene 19</t>
  </si>
  <si>
    <t>Camila Breden</t>
  </si>
  <si>
    <t>camilabreden32@gmail.com</t>
  </si>
  <si>
    <t>Camila Ladino</t>
  </si>
  <si>
    <t>camiladino1994@gmail.com</t>
  </si>
  <si>
    <t>Camila Valia</t>
  </si>
  <si>
    <t>camilavalia97@gmail.com</t>
  </si>
  <si>
    <t>Camila Vilas</t>
  </si>
  <si>
    <t>Cande Figueroa</t>
  </si>
  <si>
    <t>Candela Ramos Llambias</t>
  </si>
  <si>
    <t>15 2561 4444</t>
  </si>
  <si>
    <t>canderamosllambias@gmail.com</t>
  </si>
  <si>
    <t>Candelaria Deferrari</t>
  </si>
  <si>
    <t>15 3130 7868</t>
  </si>
  <si>
    <t>Carina</t>
  </si>
  <si>
    <t>Carina Avalos</t>
  </si>
  <si>
    <t>carinaavalos@hotmail.com</t>
  </si>
  <si>
    <t>Carla Cordoba</t>
  </si>
  <si>
    <t>carlicor@hotmail.com</t>
  </si>
  <si>
    <t>Carla Frassinelli</t>
  </si>
  <si>
    <t>carlafrassi@hotmail.com</t>
  </si>
  <si>
    <t>Carla Groso</t>
  </si>
  <si>
    <t>Carla Lindstrom</t>
  </si>
  <si>
    <t>15 4552 1999</t>
  </si>
  <si>
    <t>Carla Pamela Gallegos</t>
  </si>
  <si>
    <t>15 6459 5543</t>
  </si>
  <si>
    <t>gallegos1980@hotmail.com</t>
  </si>
  <si>
    <t xml:space="preserve">Carla Schvartz </t>
  </si>
  <si>
    <t>15 5803 9748</t>
  </si>
  <si>
    <t>Carlos</t>
  </si>
  <si>
    <t>Carlos Acosta</t>
  </si>
  <si>
    <t>carlos.acosta65@gmail.com</t>
  </si>
  <si>
    <t>Carlos Armando Escalona Montes de oca</t>
  </si>
  <si>
    <t>15 3614 9172</t>
  </si>
  <si>
    <t>carlos_a_escalona@hotmail.com</t>
  </si>
  <si>
    <t>Carlos Coronas</t>
  </si>
  <si>
    <t>11 4143 7266</t>
  </si>
  <si>
    <t>carlos.coronas55@gmail.com</t>
  </si>
  <si>
    <t>Carlos Diaz</t>
  </si>
  <si>
    <t>03487 15310765</t>
  </si>
  <si>
    <t>Carlos Festa</t>
  </si>
  <si>
    <t>carlos.pixelin@gmail.com</t>
  </si>
  <si>
    <t>Carlos Luna</t>
  </si>
  <si>
    <t>Carlos Molanes</t>
  </si>
  <si>
    <t>15 6460 9778</t>
  </si>
  <si>
    <t>Carlos Molinari</t>
  </si>
  <si>
    <t>Carlos Monaco</t>
  </si>
  <si>
    <t>15 6281 0978</t>
  </si>
  <si>
    <t>monacocarlos@hotmail.com</t>
  </si>
  <si>
    <t>Carlos Ramos</t>
  </si>
  <si>
    <t>Carlos Read</t>
  </si>
  <si>
    <t>cread5@ford.com</t>
  </si>
  <si>
    <t>Carlos rey</t>
  </si>
  <si>
    <t>15 33795185</t>
  </si>
  <si>
    <t>carlosrey22@yahoo.com.ar</t>
  </si>
  <si>
    <t>Carlos Toledo</t>
  </si>
  <si>
    <t>11 2169 2281</t>
  </si>
  <si>
    <t>cat1950@gmail.com</t>
  </si>
  <si>
    <t>Carlos Uritzberea</t>
  </si>
  <si>
    <t>Carlos Valdes Villegas</t>
  </si>
  <si>
    <t>15 5473 2168</t>
  </si>
  <si>
    <t>carloslestad20@hotmail.com</t>
  </si>
  <si>
    <t>Carlota Mera</t>
  </si>
  <si>
    <t>carlotamera@hotmail.com</t>
  </si>
  <si>
    <t>Carmen Orlando</t>
  </si>
  <si>
    <t xml:space="preserve">Carmina Ríos                            </t>
  </si>
  <si>
    <t>15 3155 9220</t>
  </si>
  <si>
    <t>Caro Baldoma</t>
  </si>
  <si>
    <t>carolinabaldoma@yahoo.com.ar</t>
  </si>
  <si>
    <t>Carolina Amarillo</t>
  </si>
  <si>
    <t>carooamarillo@gmail.com</t>
  </si>
  <si>
    <t xml:space="preserve">Carolina Bregui </t>
  </si>
  <si>
    <t>Carolina Coppola</t>
  </si>
  <si>
    <t>15 3654 0565</t>
  </si>
  <si>
    <t>Carolina Cruzzetti</t>
  </si>
  <si>
    <t>Carolinacruzzetti@hotmail.com</t>
  </si>
  <si>
    <t xml:space="preserve">Carolina Goodacre </t>
  </si>
  <si>
    <t>15 303309 27</t>
  </si>
  <si>
    <t>Carolina Gutierrez</t>
  </si>
  <si>
    <t>Carolina40@outlook.es</t>
  </si>
  <si>
    <t>Carolina Jauri</t>
  </si>
  <si>
    <t>Carolina Laghezza</t>
  </si>
  <si>
    <t>15 3055 2587</t>
  </si>
  <si>
    <t>carolinalaghezza@gmail.com</t>
  </si>
  <si>
    <t>Carolina Moavro</t>
  </si>
  <si>
    <t>Carolina Pellin</t>
  </si>
  <si>
    <t>Carolina Prado</t>
  </si>
  <si>
    <t>yokarol_2@yahoo.com.ar</t>
  </si>
  <si>
    <t>Carolina Schinkel</t>
  </si>
  <si>
    <t>Carolina Vasina</t>
  </si>
  <si>
    <t>carolinavasina@gmail.com</t>
  </si>
  <si>
    <t>Catalina Cirigliano</t>
  </si>
  <si>
    <t>catalinacirigliano@hotmail.com</t>
  </si>
  <si>
    <t>Catalina Eraso</t>
  </si>
  <si>
    <t>Cecilia Agostinis</t>
  </si>
  <si>
    <t>15 3784 4267</t>
  </si>
  <si>
    <t>Cecilia Carrió</t>
  </si>
  <si>
    <t>15 4074 2204</t>
  </si>
  <si>
    <t xml:space="preserve">Cecilia Cereijo </t>
  </si>
  <si>
    <t>Cecilia Colines</t>
  </si>
  <si>
    <t>Cecilia Jimena Zanotti</t>
  </si>
  <si>
    <t>153 612 8977</t>
  </si>
  <si>
    <t>cecilia.jimena@hotmail.com</t>
  </si>
  <si>
    <t>Cecilia Maletti</t>
  </si>
  <si>
    <t>cecimaletti.cm@gmail.com</t>
  </si>
  <si>
    <t>Cecilia Nicora</t>
  </si>
  <si>
    <t>chechu781@hotmail.com</t>
  </si>
  <si>
    <t>Cecilia Onesti</t>
  </si>
  <si>
    <t>15 4094 0856</t>
  </si>
  <si>
    <t>ceci_onesti@yahoo.com.ar</t>
  </si>
  <si>
    <t>Cecilia Parra</t>
  </si>
  <si>
    <t>ceciliaparra73@gmail.com</t>
  </si>
  <si>
    <t>Cecilia Perez Cereijo</t>
  </si>
  <si>
    <t>Cecilia PerezCereijo</t>
  </si>
  <si>
    <t>Cecilia Petrujno</t>
  </si>
  <si>
    <t>cecilia_petrujno@yahoo.com.ar</t>
  </si>
  <si>
    <t>Cecilia Polidori</t>
  </si>
  <si>
    <t>54 9 2614727041</t>
  </si>
  <si>
    <t>chechapolidori@gmail.com</t>
  </si>
  <si>
    <t>Cecilia Sosa</t>
  </si>
  <si>
    <t>sosa_cecilia@yahoo.com</t>
  </si>
  <si>
    <t>Cecilia Suárez</t>
  </si>
  <si>
    <t>ceciliasuarez_87@hotmail.com</t>
  </si>
  <si>
    <t>Cecilia Tarantino</t>
  </si>
  <si>
    <t xml:space="preserve">Cecilia Vazquez </t>
  </si>
  <si>
    <t>15 5654 2638</t>
  </si>
  <si>
    <t>Ceferino Huentelaf</t>
  </si>
  <si>
    <t>Celeste Gomez</t>
  </si>
  <si>
    <t>dcg.yoo@gmail.com</t>
  </si>
  <si>
    <t>Celeste Urreaga</t>
  </si>
  <si>
    <t>15 3618 4115</t>
  </si>
  <si>
    <t>Celina Acosta</t>
  </si>
  <si>
    <t>15 6295 7301</t>
  </si>
  <si>
    <t>Celina Iratchet</t>
  </si>
  <si>
    <t>Celina Sierra</t>
  </si>
  <si>
    <t>15 64702652</t>
  </si>
  <si>
    <t xml:space="preserve">Cenia Cisneros López </t>
  </si>
  <si>
    <t>Cheli Lettieri</t>
  </si>
  <si>
    <t>Christian Hornos</t>
  </si>
  <si>
    <t>elpa_12@hotmail.com</t>
  </si>
  <si>
    <t xml:space="preserve">Christian Jirasek </t>
  </si>
  <si>
    <t>15 6282 1005</t>
  </si>
  <si>
    <t>chrissek@gmail.com</t>
  </si>
  <si>
    <t>Cinthia Alcoba</t>
  </si>
  <si>
    <t>calcoba@sanatorio-anchorena.com.ar</t>
  </si>
  <si>
    <t>Cintia Aiello</t>
  </si>
  <si>
    <t>cintia.aiello@gmail.com</t>
  </si>
  <si>
    <t>Cintia Diaz</t>
  </si>
  <si>
    <t xml:space="preserve">Cintia julia Di Florio </t>
  </si>
  <si>
    <t>cintiadiflorio@gmail.com</t>
  </si>
  <si>
    <t>Cintia Vanina Opess</t>
  </si>
  <si>
    <t>Vaninaopess@rocketmail.com</t>
  </si>
  <si>
    <t>Clara Bergeonneau</t>
  </si>
  <si>
    <t>Clarisa Urruti</t>
  </si>
  <si>
    <t>clarisa.urruti@hotmail.com</t>
  </si>
  <si>
    <t>Claudia Armenuhi Sarkissian</t>
  </si>
  <si>
    <t>15 3347 0866</t>
  </si>
  <si>
    <t xml:space="preserve">Claudia Bernardo </t>
  </si>
  <si>
    <t>Claudia Borgarelli</t>
  </si>
  <si>
    <t>clauborg2001@yahoo.com.ar</t>
  </si>
  <si>
    <t>Claudia Ceballo</t>
  </si>
  <si>
    <t>cceballos295@gmail.com</t>
  </si>
  <si>
    <t>Claudia Chavez</t>
  </si>
  <si>
    <t>Claudia Coppola</t>
  </si>
  <si>
    <t>15 3556 8213</t>
  </si>
  <si>
    <t>Claudia Diaz</t>
  </si>
  <si>
    <t>15 5981 8609</t>
  </si>
  <si>
    <t>clodi88@hotmail.com</t>
  </si>
  <si>
    <t>Claudia Gavilan</t>
  </si>
  <si>
    <t>Claudia Gerosa</t>
  </si>
  <si>
    <t>cvgerosa@yahoo.com.ar</t>
  </si>
  <si>
    <t>Claudia Gomez</t>
  </si>
  <si>
    <t>Claudia Gutiérrez</t>
  </si>
  <si>
    <t>clauliceaga@gmail.com</t>
  </si>
  <si>
    <t>Claudia Hauff</t>
  </si>
  <si>
    <t>Claudia Hebe Sposato</t>
  </si>
  <si>
    <t>claudia131960@gmail.com</t>
  </si>
  <si>
    <t>Claudia Kamin</t>
  </si>
  <si>
    <t>Claudia Liendro</t>
  </si>
  <si>
    <t>claudyamarianaliendro@gmail.com</t>
  </si>
  <si>
    <t>Claudia Martitsch</t>
  </si>
  <si>
    <t>Claudia Meller</t>
  </si>
  <si>
    <t>Claudia Nonino</t>
  </si>
  <si>
    <t>Claudia Perez</t>
  </si>
  <si>
    <t>claudia.perez@osde.com.ar</t>
  </si>
  <si>
    <t>Claudia Pioli</t>
  </si>
  <si>
    <t>Claudia Vecchio</t>
  </si>
  <si>
    <t>11 6804 9292</t>
  </si>
  <si>
    <t>mclaudia7777@hotmail.com</t>
  </si>
  <si>
    <t>Claudia Villanueva</t>
  </si>
  <si>
    <t>Claudio Callegari</t>
  </si>
  <si>
    <t>11 6637-5403</t>
  </si>
  <si>
    <t>claudioacallegari@yahoo.com.ar</t>
  </si>
  <si>
    <t xml:space="preserve">Claudio Callegari </t>
  </si>
  <si>
    <t>Claudio Eduardo Llaurado</t>
  </si>
  <si>
    <t>15 5667 8110</t>
  </si>
  <si>
    <t>cellaurado@hotmail.com</t>
  </si>
  <si>
    <t>Claudio Hamber</t>
  </si>
  <si>
    <t>Claudio Murua</t>
  </si>
  <si>
    <t>15 6513 5618</t>
  </si>
  <si>
    <t>csmurua@hotmail.com</t>
  </si>
  <si>
    <t>Claudio Screpis</t>
  </si>
  <si>
    <t>153504-9683</t>
  </si>
  <si>
    <t>claudio_screpis@hotmail.com</t>
  </si>
  <si>
    <t>Claudio Sodini</t>
  </si>
  <si>
    <t>15 58076271</t>
  </si>
  <si>
    <t>csodini@gmail.com</t>
  </si>
  <si>
    <t>Concha  Noelia</t>
  </si>
  <si>
    <t>noelialis1791@hotmail.com</t>
  </si>
  <si>
    <t>Consuelo Sierra</t>
  </si>
  <si>
    <t>consusierra@gmail.com</t>
  </si>
  <si>
    <t>FEB 22 online</t>
  </si>
  <si>
    <t>Corina Quiroga</t>
  </si>
  <si>
    <t>corinaquiroga04@yahoo.com.ar</t>
  </si>
  <si>
    <t xml:space="preserve">Cris Knapp </t>
  </si>
  <si>
    <t>Cris Terceiro</t>
  </si>
  <si>
    <t>kristerguy@gmail.com</t>
  </si>
  <si>
    <t>Cristian Grioli</t>
  </si>
  <si>
    <t>grioli3@gmail.com</t>
  </si>
  <si>
    <t>Cristian Jirasek</t>
  </si>
  <si>
    <t>Cristian Martinez</t>
  </si>
  <si>
    <t>cyamcba@gmail.com</t>
  </si>
  <si>
    <t>Cristian Salazar Diaz</t>
  </si>
  <si>
    <t>Cristian Thiel</t>
  </si>
  <si>
    <t>15 5306 6820</t>
  </si>
  <si>
    <t>cristianthiel@hotmail.com</t>
  </si>
  <si>
    <t>Cristian Tolaba</t>
  </si>
  <si>
    <t>cristolaba23@hotmail.com</t>
  </si>
  <si>
    <t>Cristina Bassi</t>
  </si>
  <si>
    <t xml:space="preserve">Cristina Cabantous </t>
  </si>
  <si>
    <t>15 36987892</t>
  </si>
  <si>
    <t>Cristina Oshiro</t>
  </si>
  <si>
    <t>15 6803 7980</t>
  </si>
  <si>
    <t>crisoshiro@yahoo.com.ar</t>
  </si>
  <si>
    <t>Cristina Santarelli</t>
  </si>
  <si>
    <t>15 5312 7364</t>
  </si>
  <si>
    <t>santarellicris@hotmail.com</t>
  </si>
  <si>
    <t>Cristina Tittler</t>
  </si>
  <si>
    <t>cristittler@gmail.com</t>
  </si>
  <si>
    <t>Cristopher Barreto</t>
  </si>
  <si>
    <t>barretocristophergmail.comjose@</t>
  </si>
  <si>
    <t>Daiana Esquivel</t>
  </si>
  <si>
    <t>dayesquivel23@gmail.com</t>
  </si>
  <si>
    <t>Daiana Gonzalez</t>
  </si>
  <si>
    <t>daygonzalez89@gmail.com</t>
  </si>
  <si>
    <t>Dalma Frias</t>
  </si>
  <si>
    <t>friasdalma93@gmail.com</t>
  </si>
  <si>
    <t>Damian Bidjimenian</t>
  </si>
  <si>
    <t>15 6520 3706</t>
  </si>
  <si>
    <t>Damian Mansilla</t>
  </si>
  <si>
    <t>dwmansilla@gmail.com</t>
  </si>
  <si>
    <t>Damian Rodriguez</t>
  </si>
  <si>
    <t>rodriguezdamiane@gmail.com</t>
  </si>
  <si>
    <t>Daniel Cassarotti</t>
  </si>
  <si>
    <t>daniellmcassarotti@gmail.com</t>
  </si>
  <si>
    <t>Daniel Conejero</t>
  </si>
  <si>
    <t>daniel_conejo@yahoo.com.ar</t>
  </si>
  <si>
    <t>Daniel Converti</t>
  </si>
  <si>
    <t>ciesdi@gmail.com</t>
  </si>
  <si>
    <t>Daniel Dregueira</t>
  </si>
  <si>
    <t>Daniel Mari</t>
  </si>
  <si>
    <t>Daniel Penen</t>
  </si>
  <si>
    <t>Daniel Rocha</t>
  </si>
  <si>
    <t>rochajuan5877@gmail.com</t>
  </si>
  <si>
    <t xml:space="preserve">Daniel Russo                               </t>
  </si>
  <si>
    <t>15 6518 7138</t>
  </si>
  <si>
    <t>Daniel Trachter</t>
  </si>
  <si>
    <t>15 6169 2246</t>
  </si>
  <si>
    <t>dtrachter@banksa.com.ar</t>
  </si>
  <si>
    <t>Daniela Bonfiglio</t>
  </si>
  <si>
    <t>15 5696 0408</t>
  </si>
  <si>
    <t>a.rose.undone@hotmail.com</t>
  </si>
  <si>
    <t>Daniela Fedele</t>
  </si>
  <si>
    <t>daniela_fedele@hotmail.com</t>
  </si>
  <si>
    <t>Daniela Montero</t>
  </si>
  <si>
    <t>daniela-montero@live.com</t>
  </si>
  <si>
    <t>Daniela Musso</t>
  </si>
  <si>
    <t>danielamusso@gmail.com</t>
  </si>
  <si>
    <t>Daniela Nieto</t>
  </si>
  <si>
    <t>yoana.lambert22@gmail.com</t>
  </si>
  <si>
    <t>Daniela Palma</t>
  </si>
  <si>
    <t>2352 521385</t>
  </si>
  <si>
    <t>danielaani2018@gmail.com</t>
  </si>
  <si>
    <t>Daniela Raschi</t>
  </si>
  <si>
    <t>danielaraschi@gmail.com</t>
  </si>
  <si>
    <t>Daniela Vitali</t>
  </si>
  <si>
    <t>Dario Fajre</t>
  </si>
  <si>
    <t>David Avendaño</t>
  </si>
  <si>
    <t>david_klor@hotmail.com</t>
  </si>
  <si>
    <t>David Lopez</t>
  </si>
  <si>
    <t>lopez_da_75@hotmail.com</t>
  </si>
  <si>
    <t>David Monroy</t>
  </si>
  <si>
    <t>David Monrroy</t>
  </si>
  <si>
    <t>davidmonrroy1@gmail.com</t>
  </si>
  <si>
    <t>Débora Correa</t>
  </si>
  <si>
    <t>dccc.c@hotmail.com</t>
  </si>
  <si>
    <t>Debora Dunkel</t>
  </si>
  <si>
    <t>dunkel.schon@gmail.com</t>
  </si>
  <si>
    <t>Debora Kreisk</t>
  </si>
  <si>
    <t>debora@rockyreggae.com.ar</t>
  </si>
  <si>
    <t>Debora Pamela Fuentes</t>
  </si>
  <si>
    <t>deby.pame@gmail.com</t>
  </si>
  <si>
    <t>Denise Guyot</t>
  </si>
  <si>
    <t>Diego Calo</t>
  </si>
  <si>
    <t>15 3780 4601</t>
  </si>
  <si>
    <t>diegocalomaiza@hotmail.com</t>
  </si>
  <si>
    <t>Diego Caridi</t>
  </si>
  <si>
    <t>diego1422fotos@gmail.com</t>
  </si>
  <si>
    <t>Diego Delavault</t>
  </si>
  <si>
    <t>diegodelavault@gmail.com</t>
  </si>
  <si>
    <t>Diego Gimenez</t>
  </si>
  <si>
    <t>03487-15-300135</t>
  </si>
  <si>
    <t>gabrielg_1978@hotmail.com</t>
  </si>
  <si>
    <t>Diego Menéndez</t>
  </si>
  <si>
    <t>15 6915 1897</t>
  </si>
  <si>
    <t>Diego Muñoz</t>
  </si>
  <si>
    <t>dmunoz@ciudad.com.ar</t>
  </si>
  <si>
    <t>Abril 22 online</t>
  </si>
  <si>
    <t>Diego Murciego</t>
  </si>
  <si>
    <t>dmurciego@fibertel.com.ar</t>
  </si>
  <si>
    <t xml:space="preserve">Diego Ortiz </t>
  </si>
  <si>
    <t>Diego Ramirez</t>
  </si>
  <si>
    <t>Diego Sajaroff</t>
  </si>
  <si>
    <t>15 3771 4332</t>
  </si>
  <si>
    <t>Diego Vila</t>
  </si>
  <si>
    <t>diegoalexisvila@yahoo.com.ar</t>
  </si>
  <si>
    <t>Diego Zanandrea</t>
  </si>
  <si>
    <t xml:space="preserve">Diego Zanandrea </t>
  </si>
  <si>
    <t>15 3790 0962</t>
  </si>
  <si>
    <t>Dolores Hernandez Agramonte</t>
  </si>
  <si>
    <t>dolo_hernandez@hotmail.com</t>
  </si>
  <si>
    <t>Edgard David Sanchez</t>
  </si>
  <si>
    <t>0348 15 4376493</t>
  </si>
  <si>
    <t>caraballoyesica_88@hotmail.com</t>
  </si>
  <si>
    <t>Edgardo Imas</t>
  </si>
  <si>
    <t>edith mabel garcia</t>
  </si>
  <si>
    <t>15 35185982</t>
  </si>
  <si>
    <t>Eduardo  Galdi</t>
  </si>
  <si>
    <t>155 4031181</t>
  </si>
  <si>
    <t>Eduardo Benitez</t>
  </si>
  <si>
    <t>Eduardo Boye</t>
  </si>
  <si>
    <t>15 2888 9471</t>
  </si>
  <si>
    <t>boyeeduardo@gmail.com</t>
  </si>
  <si>
    <t>Eduardo Friker</t>
  </si>
  <si>
    <t>eduardofriker@gmail.com</t>
  </si>
  <si>
    <t>Eduardo Gonzalez</t>
  </si>
  <si>
    <t xml:space="preserve">Eduardo González </t>
  </si>
  <si>
    <t>Eduardo Patricio</t>
  </si>
  <si>
    <t>Eduardo Pergamo</t>
  </si>
  <si>
    <t>epergamo@gmail.com</t>
  </si>
  <si>
    <t>Eduardo Sangregorio</t>
  </si>
  <si>
    <t>15-3178-9451</t>
  </si>
  <si>
    <t>esangregorio@gmail.com</t>
  </si>
  <si>
    <t>Eduardo torres</t>
  </si>
  <si>
    <t xml:space="preserve">Edurne Labiaguerre </t>
  </si>
  <si>
    <t>15 5664 3090</t>
  </si>
  <si>
    <t>Elber Sanchez</t>
  </si>
  <si>
    <t>elbermediart@hotmail.com</t>
  </si>
  <si>
    <t>sept 21 online</t>
  </si>
  <si>
    <t>Elena Kruk</t>
  </si>
  <si>
    <t>Elena Rabinovich</t>
  </si>
  <si>
    <t>15 5729 2934</t>
  </si>
  <si>
    <t>elenarabinovich@yahoo.es</t>
  </si>
  <si>
    <t>Elena Tencer</t>
  </si>
  <si>
    <t xml:space="preserve">Eli Galanternik </t>
  </si>
  <si>
    <t>Eliana Burzzio</t>
  </si>
  <si>
    <t>Eliana Duarte</t>
  </si>
  <si>
    <t>elicienta55@gmail.com</t>
  </si>
  <si>
    <t>Eliana Lopez</t>
  </si>
  <si>
    <t>ely.López1205@gmail.Com</t>
  </si>
  <si>
    <t>Sept - 17</t>
  </si>
  <si>
    <t>Elida Gurovici de Ciola</t>
  </si>
  <si>
    <t>elidaciola@gmai.com</t>
  </si>
  <si>
    <t>Elisa Pais</t>
  </si>
  <si>
    <t>elisapaisfuentes@gmail.com</t>
  </si>
  <si>
    <t>Elizabeth Gölz</t>
  </si>
  <si>
    <t>15-3094-9899</t>
  </si>
  <si>
    <t>eliquilmes29@gmail.com</t>
  </si>
  <si>
    <t>Elizabeth Rubio</t>
  </si>
  <si>
    <t>elilita_rubio@hotmail.com</t>
  </si>
  <si>
    <t>Elsa Armentano</t>
  </si>
  <si>
    <t>Emanuel Agustin Anrique</t>
  </si>
  <si>
    <t>carolaamicone@gmail.com</t>
  </si>
  <si>
    <t xml:space="preserve">Emiliano Freiberg </t>
  </si>
  <si>
    <t>15 6335 5113</t>
  </si>
  <si>
    <t>Emilio Mego</t>
  </si>
  <si>
    <t>15 5995 7499</t>
  </si>
  <si>
    <t>Emilio Ugueto</t>
  </si>
  <si>
    <t>Emilse Ares</t>
  </si>
  <si>
    <t>Emmanuel Durand</t>
  </si>
  <si>
    <t>emmagrego983@gmail.com</t>
  </si>
  <si>
    <t>Enrique Banti</t>
  </si>
  <si>
    <t>enriquebanti@gmail.com</t>
  </si>
  <si>
    <t>Enriqueta Cabred</t>
  </si>
  <si>
    <t>15 6597 0201</t>
  </si>
  <si>
    <t>Erica Cruz</t>
  </si>
  <si>
    <t>indiaccruz@gmail.com</t>
  </si>
  <si>
    <t>Érica Kallenbach</t>
  </si>
  <si>
    <t>jmke1973@gmail.com</t>
  </si>
  <si>
    <t>Ernesto Sinni</t>
  </si>
  <si>
    <t>sinni.ernesto@gmail.com</t>
  </si>
  <si>
    <t>Esteban López</t>
  </si>
  <si>
    <t>estebanfedericolopez7@gmail.com</t>
  </si>
  <si>
    <t>Estefanía Guerra</t>
  </si>
  <si>
    <t>153323-5082</t>
  </si>
  <si>
    <t xml:space="preserve"> estefaniacguerra@gmail.com </t>
  </si>
  <si>
    <t>Estela Rapidardi</t>
  </si>
  <si>
    <t>Ester Stephan</t>
  </si>
  <si>
    <t>stephanester646@gmail.com</t>
  </si>
  <si>
    <t>Eugenia Bargero</t>
  </si>
  <si>
    <t>mariabargero@gmail.com</t>
  </si>
  <si>
    <t>Eugenia Rebaudo</t>
  </si>
  <si>
    <t>Evangelina Rosa</t>
  </si>
  <si>
    <t>evangelinarosa563@gmail.com</t>
  </si>
  <si>
    <t>Eve Grynberg</t>
  </si>
  <si>
    <t>Evelyn Farrell</t>
  </si>
  <si>
    <t>Evefarrel@gmail.com</t>
  </si>
  <si>
    <t>Ezequiel Lopapa</t>
  </si>
  <si>
    <t>221 501 6119</t>
  </si>
  <si>
    <t>Ezequiel Pepe</t>
  </si>
  <si>
    <t>15 5993 6388</t>
  </si>
  <si>
    <t>Fabian Alderete</t>
  </si>
  <si>
    <t>Fabian Fernandez</t>
  </si>
  <si>
    <t>15 4054 4286</t>
  </si>
  <si>
    <t>tallerestudiovisual@gmail.com</t>
  </si>
  <si>
    <t>Fabian Sosa</t>
  </si>
  <si>
    <t>fabiansosa57@gmail.com</t>
  </si>
  <si>
    <t>Fabian Vega</t>
  </si>
  <si>
    <t>Fabiana</t>
  </si>
  <si>
    <t>Fabiana Bertetti</t>
  </si>
  <si>
    <t>medinafabiana@live.com.ar</t>
  </si>
  <si>
    <t>Fabiana Karnicki</t>
  </si>
  <si>
    <t>fabianakarni@gmail.com</t>
  </si>
  <si>
    <t>Fabiana Pereyra</t>
  </si>
  <si>
    <t>Fabiana Salerno</t>
  </si>
  <si>
    <t>153-105-7661</t>
  </si>
  <si>
    <t>Fabiola Ibarra</t>
  </si>
  <si>
    <t>fabimibarra@gmail.com</t>
  </si>
  <si>
    <t>Facundo Fuoco</t>
  </si>
  <si>
    <t>Facundo Iñeguez</t>
  </si>
  <si>
    <t>02323 15627721</t>
  </si>
  <si>
    <t>fineguez@gmail.com</t>
  </si>
  <si>
    <t>Facundo Nehuen Gadea</t>
  </si>
  <si>
    <t>Gadea.facundo2@gmail.com</t>
  </si>
  <si>
    <t>Federico Alberdi</t>
  </si>
  <si>
    <t>153792 1977</t>
  </si>
  <si>
    <t>fotografiafmalberdi@gmail.com</t>
  </si>
  <si>
    <t>Federico Bravo</t>
  </si>
  <si>
    <t>fac Bravo Domingo Antonio</t>
  </si>
  <si>
    <t>Federico Ciccolini</t>
  </si>
  <si>
    <t>Federico Godoy</t>
  </si>
  <si>
    <t>Federico Lopez</t>
  </si>
  <si>
    <t>15 55774158</t>
  </si>
  <si>
    <t>Federico Martinez</t>
  </si>
  <si>
    <t>15 67253939</t>
  </si>
  <si>
    <t>Federico Nola</t>
  </si>
  <si>
    <t>Federico Perez</t>
  </si>
  <si>
    <t>11 5763 1744</t>
  </si>
  <si>
    <t>perez-fede@hotmail.com</t>
  </si>
  <si>
    <t xml:space="preserve">Federico Teyssandier </t>
  </si>
  <si>
    <t>15 6451 2948</t>
  </si>
  <si>
    <t>Felicidad  Pérez Trimarco</t>
  </si>
  <si>
    <t>fe.trimarco@gmail.com</t>
  </si>
  <si>
    <t>Fernanda Landin</t>
  </si>
  <si>
    <t>landin.fernanda@yahoo.com.ar</t>
  </si>
  <si>
    <t xml:space="preserve">Fernando Corchon </t>
  </si>
  <si>
    <t>15 6562 8200</t>
  </si>
  <si>
    <t>fcorchon@itasa.com.ar</t>
  </si>
  <si>
    <t>Fernando Farias</t>
  </si>
  <si>
    <t>Fernando Jacobo </t>
  </si>
  <si>
    <t>15 6479 1012</t>
  </si>
  <si>
    <t>Fernando Perez</t>
  </si>
  <si>
    <t>fernandopocho43@gmail.com</t>
  </si>
  <si>
    <t>Fernando Screpis</t>
  </si>
  <si>
    <t>Flavia Ferreyra</t>
  </si>
  <si>
    <t>flavia87tediria@hotmail.com</t>
  </si>
  <si>
    <t>Flavia Ingiulla</t>
  </si>
  <si>
    <t>Flavio Alvarez</t>
  </si>
  <si>
    <t>flaviomalvarez@gmail.com</t>
  </si>
  <si>
    <t>Flor Hanna</t>
  </si>
  <si>
    <t>florhanna12@gmail.com</t>
  </si>
  <si>
    <t>Flor Pintelos</t>
  </si>
  <si>
    <t>Florencia Bottini</t>
  </si>
  <si>
    <t>babsy500@gmail.com</t>
  </si>
  <si>
    <t>Florencia Carrizo</t>
  </si>
  <si>
    <t>florcarrizofotografia@gmail.com</t>
  </si>
  <si>
    <t>Florencia Casarsa</t>
  </si>
  <si>
    <t>florenciacasarsa@gmail.com</t>
  </si>
  <si>
    <t>Florencia Cipoletti</t>
  </si>
  <si>
    <t>florencia_cipolletti@yahoo.com.ar</t>
  </si>
  <si>
    <t>Florencia Ferrari</t>
  </si>
  <si>
    <t>64 22 6910541</t>
  </si>
  <si>
    <t>Florencia Galvagno</t>
  </si>
  <si>
    <t>15-6561-3805</t>
  </si>
  <si>
    <t>fgalvagno@hotmail.com</t>
  </si>
  <si>
    <t>Florencia Perez</t>
  </si>
  <si>
    <t>15 3476 2333</t>
  </si>
  <si>
    <t>florenciaperez17@hotmail.com</t>
  </si>
  <si>
    <t>Florencia Rosental</t>
  </si>
  <si>
    <t>flor.rosental@gmail.com</t>
  </si>
  <si>
    <t>Florencia Samaniego</t>
  </si>
  <si>
    <t>156-844-3097</t>
  </si>
  <si>
    <t>mfsamaniego@gmail.com</t>
  </si>
  <si>
    <t>Francisco Cuenca</t>
  </si>
  <si>
    <t>Francisco Mendonça</t>
  </si>
  <si>
    <t>Franco Vacchieri</t>
  </si>
  <si>
    <t>Frank Sacco</t>
  </si>
  <si>
    <t>franktambella@gmail.com</t>
  </si>
  <si>
    <t>Gabriel Ferrer</t>
  </si>
  <si>
    <t xml:space="preserve">Gabriel Hickling </t>
  </si>
  <si>
    <t>15 5428 3104</t>
  </si>
  <si>
    <t>Gabriel Pedrouzo</t>
  </si>
  <si>
    <t>gabrielmaure@hotmail.com</t>
  </si>
  <si>
    <t>Agosto 21</t>
  </si>
  <si>
    <t xml:space="preserve">Gabriel Pedrouzo </t>
  </si>
  <si>
    <t>Gabriel Rugirello</t>
  </si>
  <si>
    <t xml:space="preserve">Gabriela Ardiles </t>
  </si>
  <si>
    <t>ardilesgraciela@gmail.com</t>
  </si>
  <si>
    <t>Gabriela Bechmann</t>
  </si>
  <si>
    <t>bechmanngabriela@gmail.com</t>
  </si>
  <si>
    <t>Gabriela Bozzi</t>
  </si>
  <si>
    <t xml:space="preserve">Gabriela D’Agostino </t>
  </si>
  <si>
    <t>mgabrieladagostino@hotmail.com</t>
  </si>
  <si>
    <t xml:space="preserve">Gabriela García </t>
  </si>
  <si>
    <t>Gabriela Leroux</t>
  </si>
  <si>
    <t>gvsantoro@hotmail.com</t>
  </si>
  <si>
    <t>Gabriela López</t>
  </si>
  <si>
    <t xml:space="preserve">gabrielaveronica1977@hotmail.com </t>
  </si>
  <si>
    <t>Gabriela Otero</t>
  </si>
  <si>
    <t>gabrielaotero53@gmail.com</t>
  </si>
  <si>
    <t xml:space="preserve">Gabriela Podlesch </t>
  </si>
  <si>
    <t>15 53753813</t>
  </si>
  <si>
    <t>Gabriela Rosso</t>
  </si>
  <si>
    <t>gabirosso.ph@gmail.com</t>
  </si>
  <si>
    <t>Gabriela Sempé</t>
  </si>
  <si>
    <t>15 6710 2539</t>
  </si>
  <si>
    <t>gabriela@rockyreggae.com.ar</t>
  </si>
  <si>
    <t>Gabriela Vera</t>
  </si>
  <si>
    <t>Gaby Bernatek</t>
  </si>
  <si>
    <t xml:space="preserve">Gaby Bernatek </t>
  </si>
  <si>
    <t>Gastón Caporale</t>
  </si>
  <si>
    <t>gastoncaporale@gmail.com</t>
  </si>
  <si>
    <t>Gastón Ferrera</t>
  </si>
  <si>
    <t>15 6689 5200</t>
  </si>
  <si>
    <t>Gastón Smurra</t>
  </si>
  <si>
    <t>Gaviota Restrepo Gutiérrez</t>
  </si>
  <si>
    <t>15 62890611</t>
  </si>
  <si>
    <t>Georgina Carr</t>
  </si>
  <si>
    <t>154 418 8207</t>
  </si>
  <si>
    <t>georgie.carr@hotmail.com</t>
  </si>
  <si>
    <t>Geraldine Carpintero</t>
  </si>
  <si>
    <t>15 3012 4359</t>
  </si>
  <si>
    <t>gericarpin@Hotmail.com</t>
  </si>
  <si>
    <t>Geraldine Rodriguez</t>
  </si>
  <si>
    <t>15 5905 5579</t>
  </si>
  <si>
    <t>Gerardo Suarez</t>
  </si>
  <si>
    <t>German Kirschner</t>
  </si>
  <si>
    <t>15  4085 1774</t>
  </si>
  <si>
    <t>Gerónimo Poppino</t>
  </si>
  <si>
    <t>15 5175 0386</t>
  </si>
  <si>
    <t>Gisela Arredes</t>
  </si>
  <si>
    <t>garredes@mpf.gov.ar</t>
  </si>
  <si>
    <t>Julio 17</t>
  </si>
  <si>
    <t>Gisela Bauret</t>
  </si>
  <si>
    <t>bmagiba@yahoo.com.ar</t>
  </si>
  <si>
    <t>Gisela Figus</t>
  </si>
  <si>
    <t>fotografiaggf21@gmail.com</t>
  </si>
  <si>
    <t>Gisela Orellano</t>
  </si>
  <si>
    <t>Giselle Ferra</t>
  </si>
  <si>
    <t>Giuli Paz</t>
  </si>
  <si>
    <t>Gloria</t>
  </si>
  <si>
    <t>Gonzalo Cuenca</t>
  </si>
  <si>
    <t>gcuencavet@gmail.com</t>
  </si>
  <si>
    <t>Gonzalo Moyano</t>
  </si>
  <si>
    <t>Grace Bayala</t>
  </si>
  <si>
    <t>grace@gracebayala.com</t>
  </si>
  <si>
    <t>oct 21 online</t>
  </si>
  <si>
    <t>Feb 22 onilne</t>
  </si>
  <si>
    <t>Grace Canteros</t>
  </si>
  <si>
    <t>docentegbc1972@gmail.com</t>
  </si>
  <si>
    <t>Grace Ichazo Blanco</t>
  </si>
  <si>
    <t>ichazoblanco@gmail.com</t>
  </si>
  <si>
    <t xml:space="preserve">Graciana Walter </t>
  </si>
  <si>
    <t>Graciela (Eli) Bergallo</t>
  </si>
  <si>
    <t xml:space="preserve">Graciela Battista </t>
  </si>
  <si>
    <t>Graciela Bergallo</t>
  </si>
  <si>
    <t>Graciela Bosoglanian</t>
  </si>
  <si>
    <t>gracielabh80@hotmail.com</t>
  </si>
  <si>
    <t>Graciela Chalita </t>
  </si>
  <si>
    <t>15 4530 1095</t>
  </si>
  <si>
    <t>Graciela Cisneros</t>
  </si>
  <si>
    <t>graciela.cisneros35@gmail.com</t>
  </si>
  <si>
    <t>Graciela Fabregat</t>
  </si>
  <si>
    <t>Graciela Foglia</t>
  </si>
  <si>
    <t>grafo2016@gmail.com</t>
  </si>
  <si>
    <t>Graciela Garófoli</t>
  </si>
  <si>
    <t>garofolig@yahoo.com.ar</t>
  </si>
  <si>
    <t>Graciela Noemi Izaguirre</t>
  </si>
  <si>
    <t>Graciela Sanchez</t>
  </si>
  <si>
    <t>15 6107 7172</t>
  </si>
  <si>
    <t>Graciela Tamaño</t>
  </si>
  <si>
    <t>15 3301 9140</t>
  </si>
  <si>
    <t>rusagit1@hotmail.com</t>
  </si>
  <si>
    <t>Graciela Trachter</t>
  </si>
  <si>
    <t>gracepines@yahoo.com.ar</t>
  </si>
  <si>
    <t>Graciela Zabala</t>
  </si>
  <si>
    <t>maria.graciela.zabala@gmail.com</t>
  </si>
  <si>
    <t>Griselda Jara</t>
  </si>
  <si>
    <t>griseldajaracontacto@gmail.com</t>
  </si>
  <si>
    <t>Griselda Videla</t>
  </si>
  <si>
    <t>grividela@gmail.com</t>
  </si>
  <si>
    <t>Guadalupe Santacruz</t>
  </si>
  <si>
    <t>lupescu78@hotmail.com</t>
  </si>
  <si>
    <t>Guido Braco</t>
  </si>
  <si>
    <t>15-6600-2888</t>
  </si>
  <si>
    <t>guidobraco@gmail.com</t>
  </si>
  <si>
    <t>Guillermo Berlin</t>
  </si>
  <si>
    <t>Guillermo Bogani</t>
  </si>
  <si>
    <t>Guillermo Serra</t>
  </si>
  <si>
    <t>15 5812 3036</t>
  </si>
  <si>
    <t>Guillermo Tello Bonett</t>
  </si>
  <si>
    <t>gmail</t>
  </si>
  <si>
    <t>tellobonettfotos@gmail.com</t>
  </si>
  <si>
    <t>Guillermo Vatovec</t>
  </si>
  <si>
    <t>Guillermo Villanueva</t>
  </si>
  <si>
    <t>guillevi3@gmail.com</t>
  </si>
  <si>
    <t>Gustavo  Castellarin</t>
  </si>
  <si>
    <t>Gustavo Agrest</t>
  </si>
  <si>
    <t>Gustavo Borroni</t>
  </si>
  <si>
    <t>Gustavo Di Tomaso</t>
  </si>
  <si>
    <t>ditomaso.gustavo@gmail.com</t>
  </si>
  <si>
    <t>Gustavo Levita</t>
  </si>
  <si>
    <t>549 3468 563117</t>
  </si>
  <si>
    <t>levitagustavo@gmail.com</t>
  </si>
  <si>
    <t>Gustavo López</t>
  </si>
  <si>
    <t>gustavo_guillermo_2266@hotmail.com</t>
  </si>
  <si>
    <t>Gustavo Moreira</t>
  </si>
  <si>
    <t>15-4448-3551</t>
  </si>
  <si>
    <t>gam@alovecs.com</t>
  </si>
  <si>
    <t>Gustavo Muratore</t>
  </si>
  <si>
    <t>Gustavo Presta</t>
  </si>
  <si>
    <t>15 3794 9426</t>
  </si>
  <si>
    <t>gustavopresta@gmail.com</t>
  </si>
  <si>
    <t>Gustavo Raczko</t>
  </si>
  <si>
    <t>11 3308 6945</t>
  </si>
  <si>
    <t>graczko@yahoo.com.ar</t>
  </si>
  <si>
    <t>Gustavo Sarich</t>
  </si>
  <si>
    <t>gus_sarich@hotmail.com</t>
  </si>
  <si>
    <t>Gustavo Tenaglia</t>
  </si>
  <si>
    <t>Héctor Rearte</t>
  </si>
  <si>
    <t>mrearte471@gmail.com</t>
  </si>
  <si>
    <t>Hector Valdez</t>
  </si>
  <si>
    <t>11 5956 4018</t>
  </si>
  <si>
    <t>Hector Vozzi</t>
  </si>
  <si>
    <t>15 6857 3932</t>
  </si>
  <si>
    <t>hectorvozzi@hotmail.com</t>
  </si>
  <si>
    <t>Helena Espinoza</t>
  </si>
  <si>
    <t>Helmut Kupczyk</t>
  </si>
  <si>
    <t>hk@planobra.com.ar</t>
  </si>
  <si>
    <t>Hernan Basso</t>
  </si>
  <si>
    <t>15 4157 6033</t>
  </si>
  <si>
    <t>Hernan Bianchi</t>
  </si>
  <si>
    <t>Hernán Bianchi</t>
  </si>
  <si>
    <t xml:space="preserve">Hernan Iacona </t>
  </si>
  <si>
    <t>Hernan Wilberg</t>
  </si>
  <si>
    <t>Horacio Aranda</t>
  </si>
  <si>
    <t>horacioaranda@yahoo.com.ar</t>
  </si>
  <si>
    <t>Hugo  Casais</t>
  </si>
  <si>
    <t>Hugo Minella</t>
  </si>
  <si>
    <t>hugoeliasminnella81@gmail.com</t>
  </si>
  <si>
    <t>Iara Ledesma</t>
  </si>
  <si>
    <t>Iberia Denegri</t>
  </si>
  <si>
    <t>15 6352 4111</t>
  </si>
  <si>
    <t>iberiad@yahoo.com</t>
  </si>
  <si>
    <t>Ignacio Segovia</t>
  </si>
  <si>
    <t>15-6533-0768</t>
  </si>
  <si>
    <t>cellotropism@gmail.com</t>
  </si>
  <si>
    <t>Inés Inchauspe</t>
  </si>
  <si>
    <t>15 5111 4858</t>
  </si>
  <si>
    <t xml:space="preserve">Ines Indart </t>
  </si>
  <si>
    <t>Inés María Spinelli</t>
  </si>
  <si>
    <t>agnesims@hotmail.com</t>
  </si>
  <si>
    <t>Ines Rossi</t>
  </si>
  <si>
    <t>inesrossi70@gmail.com</t>
  </si>
  <si>
    <t>Inés Zavala</t>
  </si>
  <si>
    <t>kaporangold@gmail.com</t>
  </si>
  <si>
    <t>Ingrid Bretel</t>
  </si>
  <si>
    <t>15 6813 2152</t>
  </si>
  <si>
    <t>bretelilla@hotmail.com</t>
  </si>
  <si>
    <t>Irene Marín</t>
  </si>
  <si>
    <t>irenelicia@gmail.com</t>
  </si>
  <si>
    <t>Irene Susana Gauna</t>
  </si>
  <si>
    <t>melisalopez3004@hotmail.com</t>
  </si>
  <si>
    <t>Iris Sol Villalba</t>
  </si>
  <si>
    <t>iruchisolsi@gmail.com</t>
  </si>
  <si>
    <t>Iryna Dzenisiuk</t>
  </si>
  <si>
    <t>little_upa@hotmail.com</t>
  </si>
  <si>
    <t>Isabel Lizarralde</t>
  </si>
  <si>
    <t>Iván Barrientos</t>
  </si>
  <si>
    <t>wa buscar</t>
  </si>
  <si>
    <t>Ivana Boccio</t>
  </si>
  <si>
    <t>ivaboccio@yahoo.com.ar</t>
  </si>
  <si>
    <t>Ivana Cascardo</t>
  </si>
  <si>
    <t>15 3834 2301</t>
  </si>
  <si>
    <t>ivana_kc@icloud.com</t>
  </si>
  <si>
    <t>Ivana Persiani</t>
  </si>
  <si>
    <t>Ivón Bacaicoa</t>
  </si>
  <si>
    <t>15-5914-2501</t>
  </si>
  <si>
    <t>contacto@ivonbacaicoa.com</t>
  </si>
  <si>
    <t>Ivonne Bustamante</t>
  </si>
  <si>
    <t>15 6513 3950</t>
  </si>
  <si>
    <t>Jacqueline Morcillo</t>
  </si>
  <si>
    <t>Jacquie Porcaro</t>
  </si>
  <si>
    <t>porcarokj@gmail.com</t>
  </si>
  <si>
    <t>Jaime Kleiman</t>
  </si>
  <si>
    <t>15 5183 6224</t>
  </si>
  <si>
    <t>Javier García</t>
  </si>
  <si>
    <t>15 4042 8009</t>
  </si>
  <si>
    <t>javiergarciaprensa@gmail.com</t>
  </si>
  <si>
    <t>Javier San Juan </t>
  </si>
  <si>
    <t>15 6764 0764</t>
  </si>
  <si>
    <t>javsj@hotmail.com</t>
  </si>
  <si>
    <t>Jazmin Wesner</t>
  </si>
  <si>
    <t>Jazminwesner@yahoo.com</t>
  </si>
  <si>
    <t>Jeissy García</t>
  </si>
  <si>
    <t>jeissygarcia@gmail.com</t>
  </si>
  <si>
    <t>Jesica Cerrano</t>
  </si>
  <si>
    <t>jesicerrano81@hotmail.com.ar</t>
  </si>
  <si>
    <t>Jesica López</t>
  </si>
  <si>
    <t>jemago@live.com.ar</t>
  </si>
  <si>
    <t>Jesica Ridolfi</t>
  </si>
  <si>
    <t>vertebien_parana@hotmail.com</t>
  </si>
  <si>
    <t>Jessica San Gil</t>
  </si>
  <si>
    <t>15 6904 8984</t>
  </si>
  <si>
    <t>Jesus Fernandez Cao</t>
  </si>
  <si>
    <t>15 5497 4900</t>
  </si>
  <si>
    <t>Jhoanna Orellano</t>
  </si>
  <si>
    <t>jhoanna.arte@gmail.com</t>
  </si>
  <si>
    <t>Jimena Martinez</t>
  </si>
  <si>
    <t>15 6541 3374</t>
  </si>
  <si>
    <t>Joana Amarillo</t>
  </si>
  <si>
    <t>yoanaamarillo@gmail.com</t>
  </si>
  <si>
    <t>Joaquín Caveda</t>
  </si>
  <si>
    <t>joaquincaveda@gmail.com</t>
  </si>
  <si>
    <t>Jonatan Merlo</t>
  </si>
  <si>
    <t>merlojonatan1984@gmail.com</t>
  </si>
  <si>
    <t>Jorge Alvarez</t>
  </si>
  <si>
    <t>omarmip@yahoo.com</t>
  </si>
  <si>
    <t xml:space="preserve">Jorge Basile </t>
  </si>
  <si>
    <t>jorge castellano</t>
  </si>
  <si>
    <t>15 6987 1220</t>
  </si>
  <si>
    <t>castellanojorge@hotmail.com</t>
  </si>
  <si>
    <t>Jorge Enrico</t>
  </si>
  <si>
    <t>15 4936-8064</t>
  </si>
  <si>
    <t>jenrico1@gmail.com</t>
  </si>
  <si>
    <t>Jorge Giammona</t>
  </si>
  <si>
    <t>jorgegiammona2@hotmail.com</t>
  </si>
  <si>
    <t>Jorge Molina</t>
  </si>
  <si>
    <t>Jorge-molina73@hotmail.com</t>
  </si>
  <si>
    <t>Jorge Morando</t>
  </si>
  <si>
    <t>Jorgelina Roberts</t>
  </si>
  <si>
    <t>15 4972 8225</t>
  </si>
  <si>
    <t>Jose Alberto Caffo</t>
  </si>
  <si>
    <t>15 6203-4941</t>
  </si>
  <si>
    <t>jacaffo@gmail.com</t>
  </si>
  <si>
    <t>Sept -17</t>
  </si>
  <si>
    <t>Jose Dominguez</t>
  </si>
  <si>
    <t>josedominguez211986@gmail.com</t>
  </si>
  <si>
    <t>Jose Faciano</t>
  </si>
  <si>
    <t>facianodurlock@gmail.com</t>
  </si>
  <si>
    <t>Jose García</t>
  </si>
  <si>
    <t>José Garcia</t>
  </si>
  <si>
    <t>joselujang_9@hotmail.com</t>
  </si>
  <si>
    <t xml:space="preserve">Jose Lanfranco </t>
  </si>
  <si>
    <t xml:space="preserve">15 6789 3588 </t>
  </si>
  <si>
    <t>Jose Lanza</t>
  </si>
  <si>
    <t>jmlanza11.60@gmail.com</t>
  </si>
  <si>
    <t>Jose Luis Irusta</t>
  </si>
  <si>
    <t>José Manuel Font</t>
  </si>
  <si>
    <t>José Marcelo Angeloni</t>
  </si>
  <si>
    <t>15 5582 2041</t>
  </si>
  <si>
    <t>Josefina Muslera</t>
  </si>
  <si>
    <t>15 6938 6264</t>
  </si>
  <si>
    <t>Juan Bardot</t>
  </si>
  <si>
    <t>petracuervo@hotmail.com</t>
  </si>
  <si>
    <t>Juan Carlos Alfonso</t>
  </si>
  <si>
    <t>juanrapaliados444@hotmail.com</t>
  </si>
  <si>
    <t>Juan Carlos Berdugo</t>
  </si>
  <si>
    <t>Juan Carlos Ferreyra</t>
  </si>
  <si>
    <t>15 630-15602</t>
  </si>
  <si>
    <t>jcfbaires@gmail.com</t>
  </si>
  <si>
    <t>Juan Carlos Flores Torrico</t>
  </si>
  <si>
    <t>juancristianoflores@gmail.com</t>
  </si>
  <si>
    <t>Juan Carlos Volcovinsky</t>
  </si>
  <si>
    <t>Juan Castro</t>
  </si>
  <si>
    <t>15 4974 6296</t>
  </si>
  <si>
    <t>Juan Gagliani</t>
  </si>
  <si>
    <t>jlgagliani@hotmail.com</t>
  </si>
  <si>
    <t>Juan Ingelmo</t>
  </si>
  <si>
    <t>153261 3392</t>
  </si>
  <si>
    <t>juaniingelmo@gmail.com</t>
  </si>
  <si>
    <t>Juan Manuel Milazzo</t>
  </si>
  <si>
    <t>3525 484432</t>
  </si>
  <si>
    <t>Juan_058@yahoo.com.ar</t>
  </si>
  <si>
    <t>Juan Manuel Perez</t>
  </si>
  <si>
    <t>jmp1985@hotmail.com</t>
  </si>
  <si>
    <t>Juan Manuel Pérez</t>
  </si>
  <si>
    <t xml:space="preserve">Juan Martín Guerrini </t>
  </si>
  <si>
    <t>15 6007 0794</t>
  </si>
  <si>
    <t>Juan Mirko</t>
  </si>
  <si>
    <t>Juan Montalvan</t>
  </si>
  <si>
    <t>flia.montalvan@gmail.com</t>
  </si>
  <si>
    <t xml:space="preserve">Juan Navarro </t>
  </si>
  <si>
    <t>Juan Pablo Santamarina </t>
  </si>
  <si>
    <t>15 6742 0852</t>
  </si>
  <si>
    <t>hiper666@hotmail.com</t>
  </si>
  <si>
    <t>Juan Pedro Rodriguez</t>
  </si>
  <si>
    <t>Juan Uliana</t>
  </si>
  <si>
    <t>Julia Nardelli</t>
  </si>
  <si>
    <t>jnardelli2002@yahoo.com.ar</t>
  </si>
  <si>
    <t>Julia Pinasco</t>
  </si>
  <si>
    <t>transporteandresgonzalez@hotmail.com</t>
  </si>
  <si>
    <t>Julia Tussie</t>
  </si>
  <si>
    <t>15 3794 7117</t>
  </si>
  <si>
    <t>Julia Velez</t>
  </si>
  <si>
    <t>15 4028 1681</t>
  </si>
  <si>
    <t>Julián Herrera</t>
  </si>
  <si>
    <t>15 5693 5272</t>
  </si>
  <si>
    <t>juliana busso</t>
  </si>
  <si>
    <t>15 6751 4344</t>
  </si>
  <si>
    <t> juliana_busso@hotmail.com</t>
  </si>
  <si>
    <t>Juliana Gervasi</t>
  </si>
  <si>
    <t>15 3496 4790</t>
  </si>
  <si>
    <t>Juliane Andrade</t>
  </si>
  <si>
    <t>15 3319 8979</t>
  </si>
  <si>
    <t>Julieta Ameglio</t>
  </si>
  <si>
    <t>Julieta Dotta</t>
  </si>
  <si>
    <t>15 51606662</t>
  </si>
  <si>
    <t>julietadotta@gmail.com</t>
  </si>
  <si>
    <t>Julieta Martinez</t>
  </si>
  <si>
    <t>Julieta Mendez</t>
  </si>
  <si>
    <t>Julieth Colina</t>
  </si>
  <si>
    <t>Julio cesar alarcon</t>
  </si>
  <si>
    <t>ala_j22@yahoo.com.ar</t>
  </si>
  <si>
    <t>Karen Pacheco</t>
  </si>
  <si>
    <t>pacheco.karen72@gmail.com</t>
  </si>
  <si>
    <t>Kari Olmedo</t>
  </si>
  <si>
    <t xml:space="preserve">Karina Andrea Rodriguez </t>
  </si>
  <si>
    <t>15 6041 0218</t>
  </si>
  <si>
    <t>Karina de la Torre</t>
  </si>
  <si>
    <t>mkaridelatorre@yahoo.com.ar</t>
  </si>
  <si>
    <t>Karina Garcia</t>
  </si>
  <si>
    <t>karina.garcia@ar.mcd.com</t>
  </si>
  <si>
    <t>Karina Insua</t>
  </si>
  <si>
    <t>insuakarina@hotmail.com</t>
  </si>
  <si>
    <t>Karina Rodriguez</t>
  </si>
  <si>
    <t>karinaandrearo@hotmail.com</t>
  </si>
  <si>
    <t>Karina Sarro</t>
  </si>
  <si>
    <t>karinasarro@hotmail.com</t>
  </si>
  <si>
    <t xml:space="preserve">Karina Trerotola </t>
  </si>
  <si>
    <t xml:space="preserve">Laila yamila diaz junco </t>
  </si>
  <si>
    <t xml:space="preserve">Laiydiazjunco@hotmail.com </t>
  </si>
  <si>
    <t>Lais Koth</t>
  </si>
  <si>
    <t>Laura accardo</t>
  </si>
  <si>
    <t>Laura_accardo@hotmail.com</t>
  </si>
  <si>
    <t xml:space="preserve">Laura Adaro                                  </t>
  </si>
  <si>
    <t>15 5486 1289</t>
  </si>
  <si>
    <t>Laura Agramunt</t>
  </si>
  <si>
    <t>15 52215819</t>
  </si>
  <si>
    <t>Laura Bernardo</t>
  </si>
  <si>
    <t>labernard@gmail.com</t>
  </si>
  <si>
    <t>Laura Campolongo</t>
  </si>
  <si>
    <t>155 626 8844</t>
  </si>
  <si>
    <t> ex_kallraden@hotmail.com</t>
  </si>
  <si>
    <t>Laura Castillo</t>
  </si>
  <si>
    <t>15 5748 9185</t>
  </si>
  <si>
    <t>Laura Da Costa</t>
  </si>
  <si>
    <t>Laura De Gaetan</t>
  </si>
  <si>
    <t>15-23054434</t>
  </si>
  <si>
    <t>lau.omshaanti@gmail.com</t>
  </si>
  <si>
    <t>Laura de Palma</t>
  </si>
  <si>
    <t>Laura Diaz</t>
  </si>
  <si>
    <t>laurita2308@gmail.com</t>
  </si>
  <si>
    <t>Laura Fernandez</t>
  </si>
  <si>
    <t>Laura Gimenez</t>
  </si>
  <si>
    <t>lauragez@hotmail.com</t>
  </si>
  <si>
    <t>Laura Gomez</t>
  </si>
  <si>
    <t>malalagomez@yahoo.com.ar</t>
  </si>
  <si>
    <t>Laura Lescano</t>
  </si>
  <si>
    <t>lauri_468@yahoo.com.ar</t>
  </si>
  <si>
    <t>Laura Medina</t>
  </si>
  <si>
    <t>11 6209-9535</t>
  </si>
  <si>
    <t>lauramedina42@gmail.com</t>
  </si>
  <si>
    <t>Laura Piccininno</t>
  </si>
  <si>
    <t>mlaurapiccininno@gmail.com</t>
  </si>
  <si>
    <t>Laura Toro</t>
  </si>
  <si>
    <t>aprender.laura@gmail.com</t>
  </si>
  <si>
    <t>Laura Vega</t>
  </si>
  <si>
    <t>Laura Velazquez</t>
  </si>
  <si>
    <t>laurcardozo2@gmail.com</t>
  </si>
  <si>
    <t xml:space="preserve">Leandro Baltazar </t>
  </si>
  <si>
    <t>Leandro Manzoti</t>
  </si>
  <si>
    <t>15 6222 8940</t>
  </si>
  <si>
    <t>Leandro Ramirez</t>
  </si>
  <si>
    <t>leandrorodrigoramirez@gmail.com</t>
  </si>
  <si>
    <t>Leandro Testa</t>
  </si>
  <si>
    <t>Leila Cabral</t>
  </si>
  <si>
    <t>Leila Gomez</t>
  </si>
  <si>
    <t>vannu158@yahoo.com.ar</t>
  </si>
  <si>
    <t>Leila Richter</t>
  </si>
  <si>
    <t>leirichter@hotmail.com</t>
  </si>
  <si>
    <t>Leny Vis</t>
  </si>
  <si>
    <t>lenyvis64@gmail.com</t>
  </si>
  <si>
    <t>Leo Acosta</t>
  </si>
  <si>
    <t>15 3048 6147</t>
  </si>
  <si>
    <t>Leo Vidal</t>
  </si>
  <si>
    <t>Leonardo Gaggio</t>
  </si>
  <si>
    <t>Leticia Aristi</t>
  </si>
  <si>
    <t>leti_aristi@hotmail.com</t>
  </si>
  <si>
    <t xml:space="preserve">Leticia Caracciolo </t>
  </si>
  <si>
    <t>Leticia Musacchio</t>
  </si>
  <si>
    <t>112283-0163</t>
  </si>
  <si>
    <t>leticia.musacchio@gmail.com</t>
  </si>
  <si>
    <t>Lia Suarez</t>
  </si>
  <si>
    <t>liagigi@hotmail.com</t>
  </si>
  <si>
    <t>Lidia Acosta</t>
  </si>
  <si>
    <t>Lidia Amor</t>
  </si>
  <si>
    <t>Lidia Llancaman</t>
  </si>
  <si>
    <t>280 4693725</t>
  </si>
  <si>
    <t>llancamanlidia835@gmail.com</t>
  </si>
  <si>
    <t>Lila Michalski</t>
  </si>
  <si>
    <t>lilamichalski@gmail.com</t>
  </si>
  <si>
    <t>Lilia Staffora</t>
  </si>
  <si>
    <t>Lilian Sepulveda</t>
  </si>
  <si>
    <t>Liliana Fierro</t>
  </si>
  <si>
    <t>lifierroar@yahoo.com.ar</t>
  </si>
  <si>
    <t>Liliana Morono</t>
  </si>
  <si>
    <t>156 793 0258</t>
  </si>
  <si>
    <t>lmorono@gmail.com</t>
  </si>
  <si>
    <t>Liliana Pelegrini</t>
  </si>
  <si>
    <t>Liliana Perez</t>
  </si>
  <si>
    <t>15 6163 7648</t>
  </si>
  <si>
    <t>lylyperez2003@hotmail.com</t>
  </si>
  <si>
    <t>Liliana Stagnaro</t>
  </si>
  <si>
    <t>Liliana Vita</t>
  </si>
  <si>
    <t>eleminsrl@gmail.com</t>
  </si>
  <si>
    <t>Lisandro Parolari</t>
  </si>
  <si>
    <t>Livio Turazza</t>
  </si>
  <si>
    <t>liviotrzz@gmail.com</t>
  </si>
  <si>
    <t>Loreley Mendoca</t>
  </si>
  <si>
    <t>lore_mendonca@yahoo.com.ar</t>
  </si>
  <si>
    <t>Lorena Arguello</t>
  </si>
  <si>
    <t>lolyarguello@hotmail.com</t>
  </si>
  <si>
    <t>Lorena Farinelli</t>
  </si>
  <si>
    <t>Lucas Javier Reynoso</t>
  </si>
  <si>
    <t>lucasjreynoso987@gmail.com</t>
  </si>
  <si>
    <t>Lucas Suarez</t>
  </si>
  <si>
    <t>15.5835.4030</t>
  </si>
  <si>
    <t>lucasemmsuarez@gmail.com</t>
  </si>
  <si>
    <t>Lucía García Conde</t>
  </si>
  <si>
    <t>Lucía Sosa</t>
  </si>
  <si>
    <t>Lucía Yorio</t>
  </si>
  <si>
    <t>l.yorio@ilyg.com.ar</t>
  </si>
  <si>
    <t>Luciana Ponzo</t>
  </si>
  <si>
    <t>agendada</t>
  </si>
  <si>
    <t>lucianaponzo.lp@gmail.com</t>
  </si>
  <si>
    <t>Luciano Fabiano</t>
  </si>
  <si>
    <t>lucianofabiano94@gmail.com</t>
  </si>
  <si>
    <t>Lucila Donnarumma</t>
  </si>
  <si>
    <t>luciladonnarumma@hotmail.com</t>
  </si>
  <si>
    <t>Lucila Terminiello</t>
  </si>
  <si>
    <t>luuciilaa_@hotmail.com</t>
  </si>
  <si>
    <t>Luis Barrientos</t>
  </si>
  <si>
    <t>Luis de Corral</t>
  </si>
  <si>
    <t>Luis Gonzalez</t>
  </si>
  <si>
    <t>Luis Guarache</t>
  </si>
  <si>
    <t>Luis Lucero</t>
  </si>
  <si>
    <t>luigiasensio@gmail.com</t>
  </si>
  <si>
    <t>Luis Perez</t>
  </si>
  <si>
    <t>luisperez3980@hotmail.com</t>
  </si>
  <si>
    <t>Luis Scervino</t>
  </si>
  <si>
    <t>lscervino@yahoo.com.ar</t>
  </si>
  <si>
    <t>Luis Seijo</t>
  </si>
  <si>
    <t>luisseijo@hotmail.com</t>
  </si>
  <si>
    <t xml:space="preserve">Luis Seijo </t>
  </si>
  <si>
    <t>Luis Talarico</t>
  </si>
  <si>
    <t>11 6411 7777</t>
  </si>
  <si>
    <t>luistalarico64@gmail.com</t>
  </si>
  <si>
    <t>Luis Velazquez</t>
  </si>
  <si>
    <t>Luisa Roa Mantilla</t>
  </si>
  <si>
    <t>15 3380 2373</t>
  </si>
  <si>
    <t>Ma Belen garcía</t>
  </si>
  <si>
    <t>belengarcianicoletti@hotmail.com</t>
  </si>
  <si>
    <t>Ma del Carmen Scutaro</t>
  </si>
  <si>
    <t>Ma Josè Balmaceda</t>
  </si>
  <si>
    <t>Majo.trabajocreativo@gmail.com</t>
  </si>
  <si>
    <t>Ma. Angélica Vazquez</t>
  </si>
  <si>
    <t>angelicavazquezcedro@gmail.com</t>
  </si>
  <si>
    <t>Ma. del Carmen Chiappero</t>
  </si>
  <si>
    <t>carmenchiappero@gmail.com</t>
  </si>
  <si>
    <t>Ma. del Carmen Scutaro</t>
  </si>
  <si>
    <t>minu_scutaro@hotmail.com</t>
  </si>
  <si>
    <t>(minu)</t>
  </si>
  <si>
    <t>Ma. del Rosario</t>
  </si>
  <si>
    <t>Ma. Florencia Ruiz Diaz</t>
  </si>
  <si>
    <t>mflorenciaruizdiaz@hotmail.com</t>
  </si>
  <si>
    <t>Ma. Marta Erramuspe</t>
  </si>
  <si>
    <t>mmerramuspe@hotmail.com</t>
  </si>
  <si>
    <t>Ma. Mercedes Tirigal</t>
  </si>
  <si>
    <t xml:space="preserve">mercedestirigall@gmail.com </t>
  </si>
  <si>
    <t>Ma. Pía Heras</t>
  </si>
  <si>
    <t>mariaphf@gmail.com</t>
  </si>
  <si>
    <t>Mabel Baigorria</t>
  </si>
  <si>
    <t>mabelbaigorria@gmail.com</t>
  </si>
  <si>
    <t>Mabel Fernandez</t>
  </si>
  <si>
    <t>15 6129 8546</t>
  </si>
  <si>
    <t>Magdalena Bulacia</t>
  </si>
  <si>
    <t>15 6169 1420</t>
  </si>
  <si>
    <t xml:space="preserve">Magdalena Cantero </t>
  </si>
  <si>
    <t>Magdalena Delger</t>
  </si>
  <si>
    <t>15 6945 4375</t>
  </si>
  <si>
    <t>Maggi Paloppi</t>
  </si>
  <si>
    <t xml:space="preserve">Magui Rodriguez </t>
  </si>
  <si>
    <t>Maira Maciel</t>
  </si>
  <si>
    <t>agend</t>
  </si>
  <si>
    <t>maira.maciel789@gmail.com</t>
  </si>
  <si>
    <t>Maira Molina</t>
  </si>
  <si>
    <t>Maite Vila</t>
  </si>
  <si>
    <t>tp_arg_mvila@msn.com</t>
  </si>
  <si>
    <t>Majo Beneite</t>
  </si>
  <si>
    <t>arquitecta@majobeneite.com.ar</t>
  </si>
  <si>
    <t>Malvina Altamiranda</t>
  </si>
  <si>
    <t>m22_malvi@hotmail.com</t>
  </si>
  <si>
    <t xml:space="preserve">Malvina Peñalver </t>
  </si>
  <si>
    <t>malvinapenialver017@gmail.com</t>
  </si>
  <si>
    <t>Manuel Arias</t>
  </si>
  <si>
    <t>ariasmanuel1@hotmail.com</t>
  </si>
  <si>
    <t>Manuel Fernandez Cao</t>
  </si>
  <si>
    <t>155 388 7937</t>
  </si>
  <si>
    <t>manuelfc@gmail.com</t>
  </si>
  <si>
    <t>Manuel Tojo</t>
  </si>
  <si>
    <t>15 4171 6822</t>
  </si>
  <si>
    <t>manuel_tojo@hotmail.com</t>
  </si>
  <si>
    <t>Marc Schrammen</t>
  </si>
  <si>
    <t>15 4026 7369</t>
  </si>
  <si>
    <t>Marcela Agostino</t>
  </si>
  <si>
    <t>marceagostino@yahoo.com.ar</t>
  </si>
  <si>
    <t>Marcela Bianchi</t>
  </si>
  <si>
    <t>Marcela Jurado</t>
  </si>
  <si>
    <t>15 64213667</t>
  </si>
  <si>
    <t>Marcela Lagier</t>
  </si>
  <si>
    <t>15 5664 5036</t>
  </si>
  <si>
    <t>lagiermarcela@hotmail.com</t>
  </si>
  <si>
    <t>Marcela Liberati</t>
  </si>
  <si>
    <t>Marcela Meneclier</t>
  </si>
  <si>
    <t>rossimeneclier@gmail.com</t>
  </si>
  <si>
    <t>Marcela Petrillo</t>
  </si>
  <si>
    <t>marcelapetrillo@vdh.jobs</t>
  </si>
  <si>
    <t>Marcela Rotondaro</t>
  </si>
  <si>
    <t>15 5337 2722</t>
  </si>
  <si>
    <t>marcerot@yahoo.es</t>
  </si>
  <si>
    <t>no aceptarla</t>
  </si>
  <si>
    <t>Marcelo Avalos</t>
  </si>
  <si>
    <t>Marcelo Constantino</t>
  </si>
  <si>
    <t>hermida.marcelo@gmail.com</t>
  </si>
  <si>
    <t>Marcelo Duran</t>
  </si>
  <si>
    <t>mldjapo@yahoo.com</t>
  </si>
  <si>
    <t>Marcelo Gamez</t>
  </si>
  <si>
    <t xml:space="preserve">Marcelo Gamez </t>
  </si>
  <si>
    <t>Marcelo Gatta</t>
  </si>
  <si>
    <t>Marcelo Hermida</t>
  </si>
  <si>
    <t>Marcelo Lauria</t>
  </si>
  <si>
    <t>15 5184 6942</t>
  </si>
  <si>
    <t>lauriamarcelo@gmail.com</t>
  </si>
  <si>
    <t>Marcelo Ledesma</t>
  </si>
  <si>
    <t>jmledesma@gmail.com</t>
  </si>
  <si>
    <t>Marcelo Pagliaro</t>
  </si>
  <si>
    <t>mpagliaro@hotmail.com</t>
  </si>
  <si>
    <t>Marcelo Rodríguez Lobo</t>
  </si>
  <si>
    <t>Marcelo Tomás</t>
  </si>
  <si>
    <t>Marcelo Zukowski</t>
  </si>
  <si>
    <t>marcelozuko@hotmail.com</t>
  </si>
  <si>
    <t>Marceo Gamez</t>
  </si>
  <si>
    <t>Marcia Ojeda</t>
  </si>
  <si>
    <t>aarojas_rohrer@hotmail.com</t>
  </si>
  <si>
    <t>Marcos Rampazo</t>
  </si>
  <si>
    <t>Marcos Rampazzo</t>
  </si>
  <si>
    <t>11 23721230</t>
  </si>
  <si>
    <t>rampazzomarcos@gmail.com</t>
  </si>
  <si>
    <t xml:space="preserve">Marcos Rodriguez </t>
  </si>
  <si>
    <t>Maria Belén Cena</t>
  </si>
  <si>
    <t>belencena2013@gmail.com</t>
  </si>
  <si>
    <t>Maria Cecilia Figini</t>
  </si>
  <si>
    <t>15 6297 6025</t>
  </si>
  <si>
    <t>Maria de las Mercedes Raggio</t>
  </si>
  <si>
    <t>mechiraggio@yahoo.com.ar</t>
  </si>
  <si>
    <t>María de los Angeles Vera</t>
  </si>
  <si>
    <t xml:space="preserve">Maria del Carmen Donati </t>
  </si>
  <si>
    <t>marita_993@yahoo.com.ar</t>
  </si>
  <si>
    <t>María del Carmen Gaeta</t>
  </si>
  <si>
    <t>15 3787 7053</t>
  </si>
  <si>
    <t>Maria del Rosario Aldanondo</t>
  </si>
  <si>
    <t>15 4075 9568</t>
  </si>
  <si>
    <t>charito1951@googlemail.com</t>
  </si>
  <si>
    <t>María Elena Amarita</t>
  </si>
  <si>
    <t>15 6235 9970</t>
  </si>
  <si>
    <t>Maria Eugenia Parinello</t>
  </si>
  <si>
    <t>María Eugenia Rebaudo</t>
  </si>
  <si>
    <t>11 5614-9760</t>
  </si>
  <si>
    <t>Eugerebaudo.fotos@gmail.com</t>
  </si>
  <si>
    <t>María Fernanda Giralt Font</t>
  </si>
  <si>
    <t>15-5620-0582</t>
  </si>
  <si>
    <t xml:space="preserve">mfgf67@gmail.com </t>
  </si>
  <si>
    <t>María Florencia Pazos Barral</t>
  </si>
  <si>
    <t>monicabarral@hotmail.com</t>
  </si>
  <si>
    <t>María Ginestet</t>
  </si>
  <si>
    <t>mariaginestet3@gmail.com</t>
  </si>
  <si>
    <t>Maria Helena Hun</t>
  </si>
  <si>
    <t>María Helena Hun</t>
  </si>
  <si>
    <t>María Inés Rivas</t>
  </si>
  <si>
    <t>rivasmaines@gmail.com</t>
  </si>
  <si>
    <t>María José Bello</t>
  </si>
  <si>
    <t xml:space="preserve">34891531  2005 </t>
  </si>
  <si>
    <t>María Laura Lima</t>
  </si>
  <si>
    <t>mlauralima2014@gmail.com</t>
  </si>
  <si>
    <t>María Laura Pazos</t>
  </si>
  <si>
    <t>carlaucami@hotmail.com</t>
  </si>
  <si>
    <t xml:space="preserve">Maria Laura Pinolli </t>
  </si>
  <si>
    <t>Maria Laura Rosich</t>
  </si>
  <si>
    <t>marlau.rosich@hotmail.com</t>
  </si>
  <si>
    <t>Maria Lorena del Rio</t>
  </si>
  <si>
    <t>marialorenadelrio@hotmail.com</t>
  </si>
  <si>
    <t>María Manzano</t>
  </si>
  <si>
    <t>15 5956 4355</t>
  </si>
  <si>
    <t>maria_manzano2004@yahoo.com.ar</t>
  </si>
  <si>
    <t>Maria Mercedes Villambrosa</t>
  </si>
  <si>
    <t>mervillambrosa@yahoo.com</t>
  </si>
  <si>
    <t>Maria Nöel Mauro</t>
  </si>
  <si>
    <t>15 3070-5066</t>
  </si>
  <si>
    <t>marianoelmauro@hotmail.com</t>
  </si>
  <si>
    <t>Maria Parola (Pía)</t>
  </si>
  <si>
    <t>15 6869 6464</t>
  </si>
  <si>
    <t>María Paula García</t>
  </si>
  <si>
    <t>mariapaulagarcia98@gmail.com</t>
  </si>
  <si>
    <t>María Pía Moronta</t>
  </si>
  <si>
    <t>pia.moronta@gmail.com</t>
  </si>
  <si>
    <t xml:space="preserve">Maria Pollice </t>
  </si>
  <si>
    <t xml:space="preserve">Maria Recordon </t>
  </si>
  <si>
    <t>María Rosa Casas</t>
  </si>
  <si>
    <t>Maria Rosa Sargiotti</t>
  </si>
  <si>
    <t>sargmaria@yahoo.com.ar</t>
  </si>
  <si>
    <t>Maria Ruiz</t>
  </si>
  <si>
    <t>María Sanchez</t>
  </si>
  <si>
    <t>María Soledad Esperanza</t>
  </si>
  <si>
    <t>msesperanza07@yahoo.com.ar</t>
  </si>
  <si>
    <t>María Susana Manso</t>
  </si>
  <si>
    <t>susi.manso@hotmail.com</t>
  </si>
  <si>
    <t>María Torres</t>
  </si>
  <si>
    <t>mariatorresquilmes@gmail.com</t>
  </si>
  <si>
    <t>María Valentina Forte</t>
  </si>
  <si>
    <t>02323 15658251</t>
  </si>
  <si>
    <t>Mariana Bertone</t>
  </si>
  <si>
    <t>bmarianalaura@gmail.com</t>
  </si>
  <si>
    <t>Mariana Calise</t>
  </si>
  <si>
    <t>Mariana Canosa</t>
  </si>
  <si>
    <t>380-154640678</t>
  </si>
  <si>
    <t>Mariana Dominguez</t>
  </si>
  <si>
    <t>mariana-dominguez@hotmail.com</t>
  </si>
  <si>
    <t>Mariana Ferreira</t>
  </si>
  <si>
    <t>fliafmfm2010@yahoo.com.ar</t>
  </si>
  <si>
    <t>Mariana Folino</t>
  </si>
  <si>
    <t>marianafolino68@gmail.com</t>
  </si>
  <si>
    <t>Mariana Jodar</t>
  </si>
  <si>
    <t>marianapaulajodar@gmail.com</t>
  </si>
  <si>
    <t>Mariana Lopez de Tejada</t>
  </si>
  <si>
    <t>Mariana Orozco</t>
  </si>
  <si>
    <t>Mariana Rola</t>
  </si>
  <si>
    <t>m.rola@ilyg.com.ar</t>
  </si>
  <si>
    <t xml:space="preserve">Mariana Sciarrotta </t>
  </si>
  <si>
    <t>Mariana Seminara</t>
  </si>
  <si>
    <t>mariansemin@gmail.com</t>
  </si>
  <si>
    <t>Mariana Veron</t>
  </si>
  <si>
    <t>Mariano Ariel Agusti</t>
  </si>
  <si>
    <t>15 6564-3205</t>
  </si>
  <si>
    <t>marianoarielagusti@hotmail.com</t>
  </si>
  <si>
    <t xml:space="preserve">Mariano Cortese Weigel </t>
  </si>
  <si>
    <t>Mariano La Ferla</t>
  </si>
  <si>
    <t>155-977-8515</t>
  </si>
  <si>
    <t>mariano.laferla@gmail.com</t>
  </si>
  <si>
    <t>Mariano Nieva</t>
  </si>
  <si>
    <t>mar_nieva@hotmail.com</t>
  </si>
  <si>
    <t>Mariano Osta</t>
  </si>
  <si>
    <t>mariano_osta@yahoo.com.ar</t>
  </si>
  <si>
    <t xml:space="preserve">Mariano Ucha </t>
  </si>
  <si>
    <t>15 5159 8527</t>
  </si>
  <si>
    <t>marianoucha@gmail.com</t>
  </si>
  <si>
    <t>Maribel Cabrera</t>
  </si>
  <si>
    <t>Maricel Benegas</t>
  </si>
  <si>
    <t>15 5750 9527</t>
  </si>
  <si>
    <t>Mariel Lorna Vega</t>
  </si>
  <si>
    <t>lornamarielvega@icloud.com</t>
  </si>
  <si>
    <t>Mariela Cantarella</t>
  </si>
  <si>
    <t>15 5051 2385</t>
  </si>
  <si>
    <t>cantarella_marie@hotmail.com</t>
  </si>
  <si>
    <t>Mariela Contreras</t>
  </si>
  <si>
    <t>154 579 9222</t>
  </si>
  <si>
    <t>mariu-m@hotmail.com</t>
  </si>
  <si>
    <t>Mariela Denacimiento</t>
  </si>
  <si>
    <t>mdenacimiento2311@gmail.com</t>
  </si>
  <si>
    <t>Mariela L. Soli</t>
  </si>
  <si>
    <t>15 5468 9739</t>
  </si>
  <si>
    <t>Mariela Ledesma</t>
  </si>
  <si>
    <t>sophiasequana@hotmail.com.ar</t>
  </si>
  <si>
    <t>Mariela Tagliani</t>
  </si>
  <si>
    <t>15 5793 4546</t>
  </si>
  <si>
    <t>mariela_tagliani@yahoo.com.ar</t>
  </si>
  <si>
    <t>Marile Iturri</t>
  </si>
  <si>
    <t>Marina Chiesa</t>
  </si>
  <si>
    <t>chiesamarina3@gmail.com</t>
  </si>
  <si>
    <t>Marina Estray</t>
  </si>
  <si>
    <t>Marina Fernandez Crespo</t>
  </si>
  <si>
    <t>15 3190 2105</t>
  </si>
  <si>
    <t>Marina Garrido de Flores</t>
  </si>
  <si>
    <t>marina-1201@outlook.com</t>
  </si>
  <si>
    <t xml:space="preserve">Marina Gomez Bouza   </t>
  </si>
  <si>
    <t>15 5752 2923</t>
  </si>
  <si>
    <t>Marina Ottlet</t>
  </si>
  <si>
    <t>Marina Rovituso</t>
  </si>
  <si>
    <t>11-6580-7525</t>
  </si>
  <si>
    <t>marinarovi@gmail.com</t>
  </si>
  <si>
    <t>Marina Suarez</t>
  </si>
  <si>
    <t>arte-su@betalab.com.ar</t>
  </si>
  <si>
    <t>Mario Bueno</t>
  </si>
  <si>
    <t>mariobueno@gmail.com</t>
  </si>
  <si>
    <t>Mario Cotignola</t>
  </si>
  <si>
    <t>macotignola17@gmail.com</t>
  </si>
  <si>
    <t xml:space="preserve">Mario Cotignola </t>
  </si>
  <si>
    <t>Mario Sanchez</t>
  </si>
  <si>
    <t>15 4550 5128</t>
  </si>
  <si>
    <t>sanchez.mario1@gmail.com</t>
  </si>
  <si>
    <t>Mario Villafañe</t>
  </si>
  <si>
    <t>15  5580 6871</t>
  </si>
  <si>
    <t>Marisa</t>
  </si>
  <si>
    <t>Marisa Dasquez</t>
  </si>
  <si>
    <t>Marisa Talgham</t>
  </si>
  <si>
    <t>marisatal@hotmail.com</t>
  </si>
  <si>
    <t>Marita Paganini</t>
  </si>
  <si>
    <t>marita.paganini@gmail.com</t>
  </si>
  <si>
    <t>Marlene Bermudez</t>
  </si>
  <si>
    <t>Marta Martinez</t>
  </si>
  <si>
    <t xml:space="preserve">Marta Martinez </t>
  </si>
  <si>
    <t>Marta Medina</t>
  </si>
  <si>
    <t>escuchabelgrano@hotmail.com</t>
  </si>
  <si>
    <t xml:space="preserve">Marta Paz       </t>
  </si>
  <si>
    <t>martamaria.paz@gmail.com</t>
  </si>
  <si>
    <t xml:space="preserve">Martha Aznar </t>
  </si>
  <si>
    <t>chanyaznar@gmail.com</t>
  </si>
  <si>
    <t>Martín Abalos</t>
  </si>
  <si>
    <t>Martìn Bel</t>
  </si>
  <si>
    <t>m4rbel@gmail.com</t>
  </si>
  <si>
    <t>Martin Bordenave</t>
  </si>
  <si>
    <t>11 4414 6611</t>
  </si>
  <si>
    <t>martinbordenave@yahoo.com.ar</t>
  </si>
  <si>
    <t>Martin Campos</t>
  </si>
  <si>
    <t>martindel87@gmail.com</t>
  </si>
  <si>
    <t>Martín Mazzeo</t>
  </si>
  <si>
    <t>Martinfmazzeo@hotmail.com</t>
  </si>
  <si>
    <t xml:space="preserve">Martin Peralta </t>
  </si>
  <si>
    <t>Martina Boscolo</t>
  </si>
  <si>
    <t>Marylin Goyeneche</t>
  </si>
  <si>
    <t>marylingoyeneche@live.com.ar</t>
  </si>
  <si>
    <t xml:space="preserve">Matias Cardozo </t>
  </si>
  <si>
    <t>15 3282 4576</t>
  </si>
  <si>
    <t>Matias de Cristobal</t>
  </si>
  <si>
    <t>matias@decristobal.com</t>
  </si>
  <si>
    <t>Matias Jiménez</t>
  </si>
  <si>
    <t>electrosolucionesya@gmail.com</t>
  </si>
  <si>
    <t>Matias Salegas</t>
  </si>
  <si>
    <t>Matilyn Goyeneche</t>
  </si>
  <si>
    <t>Mauel Arias</t>
  </si>
  <si>
    <t>Maxi Pellegrini</t>
  </si>
  <si>
    <t>15 6876 6130</t>
  </si>
  <si>
    <t>Maximiliano Freire (Taty)</t>
  </si>
  <si>
    <t>15 3432 3376</t>
  </si>
  <si>
    <t>Mayra Andrada</t>
  </si>
  <si>
    <t>him_may@hotmail.com</t>
  </si>
  <si>
    <t>Mayra Giuliana Paz</t>
  </si>
  <si>
    <t>mgiulipaz@gmail.com</t>
  </si>
  <si>
    <t>Mayra San Roman</t>
  </si>
  <si>
    <t>mayrasr19@gmail.com</t>
  </si>
  <si>
    <t>Melina Fernandez</t>
  </si>
  <si>
    <t>melina.fernandez85@gmail.com</t>
  </si>
  <si>
    <t>Melina Ronco</t>
  </si>
  <si>
    <t xml:space="preserve">melinaronco.ph@gmail.com </t>
  </si>
  <si>
    <t xml:space="preserve">Melisa Fischman </t>
  </si>
  <si>
    <t>15 6539 4191</t>
  </si>
  <si>
    <t>Melisa Sosa</t>
  </si>
  <si>
    <t>15 6506 0720</t>
  </si>
  <si>
    <t>melisa.c.sosa@gmail.com</t>
  </si>
  <si>
    <t>Mercedes Andrade</t>
  </si>
  <si>
    <t>15 3088 0253</t>
  </si>
  <si>
    <t>Mercedes Briones</t>
  </si>
  <si>
    <t>mechecampino@gmail.com</t>
  </si>
  <si>
    <t>Mercedes Bustillo</t>
  </si>
  <si>
    <t>merchubustillo@hotmail.com</t>
  </si>
  <si>
    <t>Mercedes Echezarreta</t>
  </si>
  <si>
    <t>mercedesechezarreta@gmail.com</t>
  </si>
  <si>
    <t>Mercedes Guido</t>
  </si>
  <si>
    <t>15 6909 1007</t>
  </si>
  <si>
    <t>mechig00@hotmail.com</t>
  </si>
  <si>
    <t>Mercedes Montoya</t>
  </si>
  <si>
    <t>15 6501 7328</t>
  </si>
  <si>
    <t>montoyamer@gmail.com</t>
  </si>
  <si>
    <t>Mercedes Real</t>
  </si>
  <si>
    <t>Mercedes Rubio</t>
  </si>
  <si>
    <t>Mercedes Somoza</t>
  </si>
  <si>
    <t>mercedes.somoza@gmail.com</t>
  </si>
  <si>
    <t>Mery Venancio</t>
  </si>
  <si>
    <t>Micaela Alonso</t>
  </si>
  <si>
    <t>15 6751 3439</t>
  </si>
  <si>
    <t>Micaela Bran</t>
  </si>
  <si>
    <t>micaela_bran@hotmail.com</t>
  </si>
  <si>
    <t>Micaela Fiordelli</t>
  </si>
  <si>
    <t>Micaelafiordelli@gmail.com</t>
  </si>
  <si>
    <t>Micaela Gomez Ferra</t>
  </si>
  <si>
    <t>Micaela Oszurko</t>
  </si>
  <si>
    <t>micaelaoszurko@gmail.com</t>
  </si>
  <si>
    <t>Micaela Tartara</t>
  </si>
  <si>
    <t xml:space="preserve">Micaela Tejeda </t>
  </si>
  <si>
    <t>Micaela Zafra</t>
  </si>
  <si>
    <t>micazafra312@gmail.com</t>
  </si>
  <si>
    <t>Miguel García</t>
  </si>
  <si>
    <t>Miguel Ianirruberto</t>
  </si>
  <si>
    <t>Miguel Puertas</t>
  </si>
  <si>
    <t>153-484-0225</t>
  </si>
  <si>
    <t>miguel.puertas.95@gmail.com</t>
  </si>
  <si>
    <t>Miguel Videla</t>
  </si>
  <si>
    <t>Milagros Leiva</t>
  </si>
  <si>
    <t>15 3609 7242</t>
  </si>
  <si>
    <t>milagrosleiva@gmail.com</t>
  </si>
  <si>
    <t>Milagros Suarez</t>
  </si>
  <si>
    <t>15 3830 6669</t>
  </si>
  <si>
    <t>mili.suarezz@gmail.com</t>
  </si>
  <si>
    <t>Miranda Elizabeth</t>
  </si>
  <si>
    <t>roxelimir@gmail.com</t>
  </si>
  <si>
    <t>Miriam Caamaño</t>
  </si>
  <si>
    <t>Miriam Crocco</t>
  </si>
  <si>
    <t>mac_2071@hotmail.com</t>
  </si>
  <si>
    <t>Miriam del Valle Perea</t>
  </si>
  <si>
    <t>Miriamperea66@gmail.com</t>
  </si>
  <si>
    <t>Miriam Fournier</t>
  </si>
  <si>
    <t>Miriam Maldonado</t>
  </si>
  <si>
    <t>maldonadomiriam.08@gmail.com</t>
  </si>
  <si>
    <t>Miriam Rodriguez</t>
  </si>
  <si>
    <t>miriguez@gmail.com</t>
  </si>
  <si>
    <t>Miriam Viale</t>
  </si>
  <si>
    <t>miriamviale@gmail.com</t>
  </si>
  <si>
    <t>mirianmarinich@hotmail.com</t>
  </si>
  <si>
    <t>Mirta Costello</t>
  </si>
  <si>
    <t>mirtamcostello@gmail.com</t>
  </si>
  <si>
    <t>Mirta Eva Valencia</t>
  </si>
  <si>
    <t>mirtaevalencia@gmail.com</t>
  </si>
  <si>
    <t>Mirta Gabelloni</t>
  </si>
  <si>
    <t>15-4444-1312</t>
  </si>
  <si>
    <t>Mirta Maidana</t>
  </si>
  <si>
    <t>Mirta Sirk</t>
  </si>
  <si>
    <t>mirtasirk@hotmail.com</t>
  </si>
  <si>
    <t>Mirta Suarez</t>
  </si>
  <si>
    <t>Moira Rios</t>
  </si>
  <si>
    <t>Monica Casso</t>
  </si>
  <si>
    <t>Mónica Cozzarin</t>
  </si>
  <si>
    <t>Monica Fontana</t>
  </si>
  <si>
    <t>aihuin44@hotmail.com</t>
  </si>
  <si>
    <t>Monica Gomez</t>
  </si>
  <si>
    <t>Mónica Gomez</t>
  </si>
  <si>
    <t xml:space="preserve">Mónica Gómez </t>
  </si>
  <si>
    <t>Monica Moyano</t>
  </si>
  <si>
    <t>monimoyano1976@hotmail.com</t>
  </si>
  <si>
    <t>Mónica Palacios</t>
  </si>
  <si>
    <t>Tinalen@hotmail.es</t>
  </si>
  <si>
    <t>Monica Perazzo</t>
  </si>
  <si>
    <t>3489 15 622970</t>
  </si>
  <si>
    <t>maperazzo3@gmail.com</t>
  </si>
  <si>
    <t>Mónica Rojo</t>
  </si>
  <si>
    <t>monicaro_65@hotmail.com</t>
  </si>
  <si>
    <t>Monica Segovia</t>
  </si>
  <si>
    <t>paraestarcerca@hotmail.com</t>
  </si>
  <si>
    <t>Mónica Soria</t>
  </si>
  <si>
    <t>15 41618471</t>
  </si>
  <si>
    <t>docmsoria@hotmail.com</t>
  </si>
  <si>
    <t>Moriana Marques</t>
  </si>
  <si>
    <t xml:space="preserve">Myriam Folgueiras </t>
  </si>
  <si>
    <t>Nadia Carrizo</t>
  </si>
  <si>
    <t>Nadia Guizzo</t>
  </si>
  <si>
    <t>nadiaguizzo@yahoo.com.ar</t>
  </si>
  <si>
    <t>Nadia Salina</t>
  </si>
  <si>
    <t>0348 15 4 550652</t>
  </si>
  <si>
    <t>nadia.salina@hotmail.com</t>
  </si>
  <si>
    <t>Nadine De Beer</t>
  </si>
  <si>
    <t>Nancy Alpern</t>
  </si>
  <si>
    <t>Nancy Cabanillas</t>
  </si>
  <si>
    <t xml:space="preserve">Nancy Illescas </t>
  </si>
  <si>
    <t>Nancy Mara</t>
  </si>
  <si>
    <t>15 32049011</t>
  </si>
  <si>
    <t>nancy-mara@hotmail.com</t>
  </si>
  <si>
    <t>Nancy Portillo</t>
  </si>
  <si>
    <t>Nancy Robles</t>
  </si>
  <si>
    <t>nancyrob_2@hotmail.com</t>
  </si>
  <si>
    <t>Nancy Vinci</t>
  </si>
  <si>
    <t>Natalia Bernasconi</t>
  </si>
  <si>
    <t>nataliabernas11@gmail.com</t>
  </si>
  <si>
    <t>Natalia Castaño</t>
  </si>
  <si>
    <t>15 6255 9898</t>
  </si>
  <si>
    <t>Natalia Flores</t>
  </si>
  <si>
    <t>natycflores@hotmail.com</t>
  </si>
  <si>
    <t xml:space="preserve">Natalia Grosso </t>
  </si>
  <si>
    <t>Natalia Lorenzatto</t>
  </si>
  <si>
    <t>natalialorenzatto@gmail.com</t>
  </si>
  <si>
    <t>Natalia Matteo</t>
  </si>
  <si>
    <t>15-6561-1244</t>
  </si>
  <si>
    <t>Natalia Ropoz</t>
  </si>
  <si>
    <t>abdular78@hotmail.com</t>
  </si>
  <si>
    <t>Natalia Varela</t>
  </si>
  <si>
    <t>ricnatcardozo@gmail.com</t>
  </si>
  <si>
    <t>Natalia Velazquez</t>
  </si>
  <si>
    <t>15 62700111</t>
  </si>
  <si>
    <t>natty.ve@hotmail.com.ar</t>
  </si>
  <si>
    <t xml:space="preserve">Nati Garabato </t>
  </si>
  <si>
    <t>15 3811 5054</t>
  </si>
  <si>
    <t>Nelida Bazan</t>
  </si>
  <si>
    <t>15 54630239</t>
  </si>
  <si>
    <t>nelidabazan@gmail.com</t>
  </si>
  <si>
    <t>Nerina Beatriz Camiletti</t>
  </si>
  <si>
    <t>02396-15466637</t>
  </si>
  <si>
    <t>Nestor Di Marco</t>
  </si>
  <si>
    <t>15 4092 9336</t>
  </si>
  <si>
    <t>nestorcdimarco@yahoo.com.ar</t>
  </si>
  <si>
    <t>Nestor Vallejos</t>
  </si>
  <si>
    <t>nestor_mvallejos@hotmail.com</t>
  </si>
  <si>
    <t>Nico Laria</t>
  </si>
  <si>
    <t>Nicolás Alall</t>
  </si>
  <si>
    <t>15 3203 5470</t>
  </si>
  <si>
    <t>Nicolas Gleria </t>
  </si>
  <si>
    <t>nicolasgleria@gmail.com</t>
  </si>
  <si>
    <t xml:space="preserve">Nicolás Said                               </t>
  </si>
  <si>
    <t>15 3693 8703</t>
  </si>
  <si>
    <t>Nicolás Usandivaras</t>
  </si>
  <si>
    <t>15 5317 6900</t>
  </si>
  <si>
    <t>nicolas.usandivaras@gmail.com</t>
  </si>
  <si>
    <t>Nidia Negro</t>
  </si>
  <si>
    <t>Noelia Ciolfi</t>
  </si>
  <si>
    <t>15 6016 7560</t>
  </si>
  <si>
    <t>noelia_ciolfi@hotmail.com.ar</t>
  </si>
  <si>
    <t>Noelia Concha</t>
  </si>
  <si>
    <t>Noelia Dina Jara</t>
  </si>
  <si>
    <t>noeldin81@hotmail.com</t>
  </si>
  <si>
    <t>Noelia Herlein</t>
  </si>
  <si>
    <t>15 5492 3702</t>
  </si>
  <si>
    <t>no.he_88@hotmail.com</t>
  </si>
  <si>
    <t>Noelia Rusi</t>
  </si>
  <si>
    <t>noeliarusi@gmail.com</t>
  </si>
  <si>
    <t>Nora Barreira</t>
  </si>
  <si>
    <t>Nora Marti</t>
  </si>
  <si>
    <t>Nora Somaini</t>
  </si>
  <si>
    <t>Norberto Ferraris</t>
  </si>
  <si>
    <t>Norberto Maciel</t>
  </si>
  <si>
    <t>15 5369 8985</t>
  </si>
  <si>
    <t>pgp.remanso@gmail.com</t>
  </si>
  <si>
    <t>Norberto Marin</t>
  </si>
  <si>
    <t>15 4989 4721</t>
  </si>
  <si>
    <t>nmarin@jus.gov.ar</t>
  </si>
  <si>
    <t>Norma Bianco</t>
  </si>
  <si>
    <t>normibianco@hotmail.com</t>
  </si>
  <si>
    <t>Norma Saenz</t>
  </si>
  <si>
    <t>5411 5345 5911</t>
  </si>
  <si>
    <t>normasaenz@hotmail.com</t>
  </si>
  <si>
    <t>Nory Galvan</t>
  </si>
  <si>
    <t>norgalvass@gmail.com</t>
  </si>
  <si>
    <t>Olga Vazquez</t>
  </si>
  <si>
    <t>olyi11411@hotmail.com</t>
  </si>
  <si>
    <t>Oscar Casarini</t>
  </si>
  <si>
    <t>oscarcasarini@hotmail.com</t>
  </si>
  <si>
    <t>Oscar Dario Berstein</t>
  </si>
  <si>
    <t>oscarberstein@fibertel.com.ar</t>
  </si>
  <si>
    <t>Oscar Eduardo Ameconi </t>
  </si>
  <si>
    <t>oameconi@hotmail.com</t>
  </si>
  <si>
    <t>Oscar Vazquez Paz</t>
  </si>
  <si>
    <t>Oscarvazquezpaz@gmail.com</t>
  </si>
  <si>
    <t>Osvaldo Boggia</t>
  </si>
  <si>
    <t>pboggia@gmail.com</t>
  </si>
  <si>
    <t>Pablo</t>
  </si>
  <si>
    <t>Pablo Acosta</t>
  </si>
  <si>
    <t>Pablo Aloe</t>
  </si>
  <si>
    <t>Pablo Barrientos</t>
  </si>
  <si>
    <t>pablitolion70@gmail.com</t>
  </si>
  <si>
    <t xml:space="preserve">Pablo Castro </t>
  </si>
  <si>
    <t>15 3463 4054</t>
  </si>
  <si>
    <t>Pablo Codner</t>
  </si>
  <si>
    <t>pablo.codner@hotmail.com</t>
  </si>
  <si>
    <t>Pablo Davonis</t>
  </si>
  <si>
    <t xml:space="preserve"> 54 911 5874 9091</t>
  </si>
  <si>
    <t>info@pavlosnikolaos.com</t>
  </si>
  <si>
    <t>Pablo Ezequiel Villaverde</t>
  </si>
  <si>
    <t>15 5566 3953</t>
  </si>
  <si>
    <t>elpuchardi@hotmail.com</t>
  </si>
  <si>
    <t>Pablo Lértora</t>
  </si>
  <si>
    <t>lertorapablom@gmail.com</t>
  </si>
  <si>
    <t xml:space="preserve">Pablo Martin Iglesias </t>
  </si>
  <si>
    <t>Pablo Montagna</t>
  </si>
  <si>
    <t xml:space="preserve">0381 678 4360 </t>
  </si>
  <si>
    <t>pam34@hotmail.com</t>
  </si>
  <si>
    <t>Pablo Rodas</t>
  </si>
  <si>
    <t>Pablo Tobares</t>
  </si>
  <si>
    <t>pmtobares@gmail.com</t>
  </si>
  <si>
    <t>Pamela Galvan</t>
  </si>
  <si>
    <t>pamelagalvan86@gmail.com</t>
  </si>
  <si>
    <t>Paola del Castello</t>
  </si>
  <si>
    <t>15 5812 7924</t>
  </si>
  <si>
    <t>mpaola_dc@hotmail.com</t>
  </si>
  <si>
    <t>Paola Giuliani</t>
  </si>
  <si>
    <t>paogiuli@yahoo.com</t>
  </si>
  <si>
    <t>Paola Intrepido</t>
  </si>
  <si>
    <t>Paola Intrépido</t>
  </si>
  <si>
    <t>pao_lis@hotmail.com</t>
  </si>
  <si>
    <t>Paola Koch</t>
  </si>
  <si>
    <t>15 6112 7683</t>
  </si>
  <si>
    <t>paolakoch@gmail.com</t>
  </si>
  <si>
    <t>Patricia Aguero</t>
  </si>
  <si>
    <t>Patricia Aguiar</t>
  </si>
  <si>
    <t>patriciasaez@hotmail.com</t>
  </si>
  <si>
    <t>Patricia Bozan</t>
  </si>
  <si>
    <t>pmb022@hotmail.com</t>
  </si>
  <si>
    <t>Patricia Carolina Jullier</t>
  </si>
  <si>
    <t>patriciacade@hotmail.com</t>
  </si>
  <si>
    <t>Patricia Correa</t>
  </si>
  <si>
    <t>Patricia Diaz</t>
  </si>
  <si>
    <t>patty_noe_76@hotmail.com</t>
  </si>
  <si>
    <t>Patricia Garcia</t>
  </si>
  <si>
    <t>15 5115 5578</t>
  </si>
  <si>
    <t>patriciagarciav@hotmail.com</t>
  </si>
  <si>
    <t>Patricia Garcia Villalba</t>
  </si>
  <si>
    <t>pgarciavillalba@gmail.com</t>
  </si>
  <si>
    <t>Patricia García Villalba</t>
  </si>
  <si>
    <t>Patricia Imamura</t>
  </si>
  <si>
    <t>imamura60@hotmail.com</t>
  </si>
  <si>
    <t>Patricia Juarez</t>
  </si>
  <si>
    <t>15 3449 9516</t>
  </si>
  <si>
    <t>patokml@gmail.com</t>
  </si>
  <si>
    <t>Patricia Laura Carabajal</t>
  </si>
  <si>
    <t>15 5 808 6006</t>
  </si>
  <si>
    <t>Patricia Lopez</t>
  </si>
  <si>
    <t>Patricia López</t>
  </si>
  <si>
    <t>pato_lc@hotmail.com</t>
  </si>
  <si>
    <t xml:space="preserve">Patricia Ortiz </t>
  </si>
  <si>
    <t>Patricia Palucito</t>
  </si>
  <si>
    <t>palucitopatricia2@gmail.com</t>
  </si>
  <si>
    <t>Patricia Retamozo</t>
  </si>
  <si>
    <t>patriciamariel@gmail.com</t>
  </si>
  <si>
    <t>Patricia Salega</t>
  </si>
  <si>
    <t>Patricia Vidal</t>
  </si>
  <si>
    <t>pato_lagomarsino@yahoo.com.ar</t>
  </si>
  <si>
    <t>Patricia Zeppa</t>
  </si>
  <si>
    <t>Patricio Basile</t>
  </si>
  <si>
    <t>154-673-3131</t>
  </si>
  <si>
    <t>Paula Alonso</t>
  </si>
  <si>
    <t>Paula Altieri</t>
  </si>
  <si>
    <t>15 4 4047521</t>
  </si>
  <si>
    <t>paualtieri@hotmail.com</t>
  </si>
  <si>
    <t>Paula Arenas</t>
  </si>
  <si>
    <t>Paula Barberi</t>
  </si>
  <si>
    <t>15 4176 8084</t>
  </si>
  <si>
    <t>Paula Beati</t>
  </si>
  <si>
    <t>Paula Conti</t>
  </si>
  <si>
    <t>paulaconti@yahoo.com.ar</t>
  </si>
  <si>
    <t>Paula Lombardi</t>
  </si>
  <si>
    <t>paulaclombardi@hotmail.com</t>
  </si>
  <si>
    <t>Paula Lúcido</t>
  </si>
  <si>
    <t>156552 3438</t>
  </si>
  <si>
    <t xml:space="preserve">Paula María Serrano </t>
  </si>
  <si>
    <t>Paula Martinez</t>
  </si>
  <si>
    <t>captandoarte@gmail.com</t>
  </si>
  <si>
    <t>Paula Puca</t>
  </si>
  <si>
    <t>Paula Sammartino</t>
  </si>
  <si>
    <t>Paula saralegui</t>
  </si>
  <si>
    <t>paulasaralegui@hotmail.com</t>
  </si>
  <si>
    <t>Paula Somoza</t>
  </si>
  <si>
    <t>pau.somoza@hotmail.com</t>
  </si>
  <si>
    <t>Paula Vega</t>
  </si>
  <si>
    <t>15 4997 1155</t>
  </si>
  <si>
    <t>Paz Corrales</t>
  </si>
  <si>
    <t>Pedro Farias</t>
  </si>
  <si>
    <t>petra kezman</t>
  </si>
  <si>
    <t>15 4045 4279</t>
  </si>
  <si>
    <t>Pía Lozano</t>
  </si>
  <si>
    <t>lozanopia@hotmail.com</t>
  </si>
  <si>
    <t>Pía Parola </t>
  </si>
  <si>
    <t>maria.parola@zurich.com</t>
  </si>
  <si>
    <t>Pía Urruzuno</t>
  </si>
  <si>
    <t>11 5416 0379</t>
  </si>
  <si>
    <t>purruzuno@gmail.com</t>
  </si>
  <si>
    <t>Pilar Nuñez</t>
  </si>
  <si>
    <t>15 6714 9332</t>
  </si>
  <si>
    <t>Pío Nazar</t>
  </si>
  <si>
    <t>54 9 2494556537</t>
  </si>
  <si>
    <t>pionazar@yahoo.com.ar</t>
  </si>
  <si>
    <t>Pupe Lewin</t>
  </si>
  <si>
    <t>Rafael Carchak Canes</t>
  </si>
  <si>
    <t>rcarchak@gmail.com</t>
  </si>
  <si>
    <t>Raul Blandini</t>
  </si>
  <si>
    <t>raulblandini@hotmail.com</t>
  </si>
  <si>
    <t>Raúl Pellendier</t>
  </si>
  <si>
    <t>pellendier@hotmail.com</t>
  </si>
  <si>
    <t>Rebeca Hu</t>
  </si>
  <si>
    <t>15 5606 2646</t>
  </si>
  <si>
    <t>rebeca_hu@hotmail.com</t>
  </si>
  <si>
    <t>Reyes Alberto Ramos</t>
  </si>
  <si>
    <t>reyesalbertoramos@gmail.com</t>
  </si>
  <si>
    <t>Ricardo Cataldi</t>
  </si>
  <si>
    <t>Ricardo Limia</t>
  </si>
  <si>
    <t>riclimia@hotmail.com</t>
  </si>
  <si>
    <t>Ricardo Lusternik</t>
  </si>
  <si>
    <t>Ricardo Santilli</t>
  </si>
  <si>
    <t>ricardosantilli@gmail.com</t>
  </si>
  <si>
    <t>Richard Bathen</t>
  </si>
  <si>
    <t>bathenevans@hotmail.com</t>
  </si>
  <si>
    <t>Rita Cardaci</t>
  </si>
  <si>
    <t>Roberta Bravi</t>
  </si>
  <si>
    <t>Roberto Barrera</t>
  </si>
  <si>
    <t xml:space="preserve">Roberto Luciano Sueldo               </t>
  </si>
  <si>
    <t>153618-5689</t>
  </si>
  <si>
    <t>Roberto Valenti</t>
  </si>
  <si>
    <t>robertoantoniovalenti@gmail.com</t>
  </si>
  <si>
    <t xml:space="preserve">Roberto Valentí </t>
  </si>
  <si>
    <t>Rocio Bassons</t>
  </si>
  <si>
    <t>rociobassons@gmail.com</t>
  </si>
  <si>
    <t>Rocío Correa</t>
  </si>
  <si>
    <t>rochiines98@gmail.com</t>
  </si>
  <si>
    <t>Rocío Cuenca</t>
  </si>
  <si>
    <t>Rocio Guevara</t>
  </si>
  <si>
    <t xml:space="preserve">rocio valeria collado </t>
  </si>
  <si>
    <t>Rodolfo Casali</t>
  </si>
  <si>
    <t>Rodolfo Dominguez</t>
  </si>
  <si>
    <t>15 4087 3213</t>
  </si>
  <si>
    <t>roddom67@gmail.com</t>
  </si>
  <si>
    <t xml:space="preserve">Rodolfo Rastatter </t>
  </si>
  <si>
    <t>Rodolfo Tedeschi</t>
  </si>
  <si>
    <t>rodolfotedeschi@speedy.com.ar</t>
  </si>
  <si>
    <t>Rodrigo Berrios</t>
  </si>
  <si>
    <t>15 5699 3653</t>
  </si>
  <si>
    <t>Rodrigo Maidana</t>
  </si>
  <si>
    <t>roodrimaidana@hotmail.com</t>
  </si>
  <si>
    <t>Rodrigo Yañez</t>
  </si>
  <si>
    <t>Romina Cabral</t>
  </si>
  <si>
    <t>Romina Castro</t>
  </si>
  <si>
    <t>15 6874 6049</t>
  </si>
  <si>
    <t>rominascastro@gmail.com</t>
  </si>
  <si>
    <t>Romina Estabillo</t>
  </si>
  <si>
    <t>Romina Fernández</t>
  </si>
  <si>
    <t>15 4169 4421</t>
  </si>
  <si>
    <t>FERNANDEZ@sodexo.com</t>
  </si>
  <si>
    <t>Romina Games</t>
  </si>
  <si>
    <t>Romina Iturmendi</t>
  </si>
  <si>
    <t>Romina Latino</t>
  </si>
  <si>
    <t>romilatino@gmail.com</t>
  </si>
  <si>
    <t>Romina Lopez</t>
  </si>
  <si>
    <t>15 5755 6690</t>
  </si>
  <si>
    <t>romigl@hotmail.com</t>
  </si>
  <si>
    <t xml:space="preserve">Romina Martinez </t>
  </si>
  <si>
    <t>romi_lafila@hotmail.com</t>
  </si>
  <si>
    <t>Romina Villalba</t>
  </si>
  <si>
    <t>riosrominareyes@gmail.com</t>
  </si>
  <si>
    <t>Rosana Fariña</t>
  </si>
  <si>
    <t>15 3682 6856</t>
  </si>
  <si>
    <t>Rosana Mariel Gerardi</t>
  </si>
  <si>
    <t>rmgerardi66@yahoo.com.ar</t>
  </si>
  <si>
    <t>Rosana Moreno</t>
  </si>
  <si>
    <t>Rosana Pitaro</t>
  </si>
  <si>
    <t>rosanaelizabeth52@yahoo.com.ar</t>
  </si>
  <si>
    <t>Rosana Pittaro</t>
  </si>
  <si>
    <t>Rosario Isabel Celi</t>
  </si>
  <si>
    <t>Rosario_celi@hotmail.com</t>
  </si>
  <si>
    <t>Rosaura Bravo</t>
  </si>
  <si>
    <t>dra.rosebravo@gmail.com</t>
  </si>
  <si>
    <t>Rosina Picardi </t>
  </si>
  <si>
    <t>15 3492 0391</t>
  </si>
  <si>
    <t xml:space="preserve">Roxana Herrera </t>
  </si>
  <si>
    <t>Roxana Reyes</t>
  </si>
  <si>
    <t>15 5873 4614</t>
  </si>
  <si>
    <t>merirreyes@gmail.com</t>
  </si>
  <si>
    <t>Roy Gorfinkel</t>
  </si>
  <si>
    <t>Rubén Fernández</t>
  </si>
  <si>
    <t>fernandezrubenm@hotmail.com</t>
  </si>
  <si>
    <t>Rubén Ledesma</t>
  </si>
  <si>
    <t>rubenl72@hotmail.com</t>
  </si>
  <si>
    <t>Ruben Rau</t>
  </si>
  <si>
    <t>Rubén Rau</t>
  </si>
  <si>
    <t>rubenrua2@hotmail.com</t>
  </si>
  <si>
    <t>Ruben Rodriguez</t>
  </si>
  <si>
    <t>Rubén Rua</t>
  </si>
  <si>
    <t>Ruben Soto</t>
  </si>
  <si>
    <t>rubenelcuervo@hotmail.com</t>
  </si>
  <si>
    <t xml:space="preserve">Ruben Villalba </t>
  </si>
  <si>
    <t>equilibrio_perpetuo@hotmail.com</t>
  </si>
  <si>
    <t>Ruth Alvarez</t>
  </si>
  <si>
    <t>15 3487 3413</t>
  </si>
  <si>
    <t>Ruth Kuperman</t>
  </si>
  <si>
    <t>15 6612 9902</t>
  </si>
  <si>
    <t>ruthkuperman@hotmail.com</t>
  </si>
  <si>
    <t>Ruth Marisol Santos</t>
  </si>
  <si>
    <t>solsans_2003@hotmail.co</t>
  </si>
  <si>
    <t>Sabrina Ambieni</t>
  </si>
  <si>
    <t>sabrinafer23@hotmail.com</t>
  </si>
  <si>
    <t>Sabrina Rauchberger</t>
  </si>
  <si>
    <t>Salvador Caamaño</t>
  </si>
  <si>
    <t>Sandra Barragan</t>
  </si>
  <si>
    <t>nbarragan@hotmail.es</t>
  </si>
  <si>
    <t>Sandra Belfiglio</t>
  </si>
  <si>
    <t>Sandra Da Costa</t>
  </si>
  <si>
    <t>9 3772 40-9071</t>
  </si>
  <si>
    <t xml:space="preserve">sandradedacosta29@gmail.com </t>
  </si>
  <si>
    <t>Sandra Morales</t>
  </si>
  <si>
    <t>Sandra Pamater</t>
  </si>
  <si>
    <t>Santiago Gomez</t>
  </si>
  <si>
    <t>santiagoabelgomez@gmail.com</t>
  </si>
  <si>
    <t>Santiago Ludueña</t>
  </si>
  <si>
    <t>santiluduena@yahoo.com.ar</t>
  </si>
  <si>
    <t>Santiago Resnik</t>
  </si>
  <si>
    <t>156 620 7944</t>
  </si>
  <si>
    <t>Sebastián Doff</t>
  </si>
  <si>
    <t>15 6021 9699</t>
  </si>
  <si>
    <t>sebastiandoff@gmail.com</t>
  </si>
  <si>
    <t>Sebastián Dumrauf</t>
  </si>
  <si>
    <t>15 6822 8587</t>
  </si>
  <si>
    <t>sebadum@gmail.com</t>
  </si>
  <si>
    <t>Sebastian Fuentes</t>
  </si>
  <si>
    <t>el_de_claro@hotmail.com</t>
  </si>
  <si>
    <t>Sebastián González Macchi</t>
  </si>
  <si>
    <t>11 2163-5458</t>
  </si>
  <si>
    <t>sebamacchi73@gmail.com</t>
  </si>
  <si>
    <t>Sebastián Herrero</t>
  </si>
  <si>
    <t>15 3228 4565</t>
  </si>
  <si>
    <t>Sebastian Kolt</t>
  </si>
  <si>
    <t>Sergio Arriola</t>
  </si>
  <si>
    <t>11 6702-9163</t>
  </si>
  <si>
    <t xml:space="preserve">arriolasergio@hotmail.com </t>
  </si>
  <si>
    <t>Sergio Lamelza</t>
  </si>
  <si>
    <t>sergiolamelza@hotmail.com</t>
  </si>
  <si>
    <t>Sergio Montenegro</t>
  </si>
  <si>
    <t>elangel_pancho@hotmail.com</t>
  </si>
  <si>
    <t>Sergio Rodriguez</t>
  </si>
  <si>
    <t>Sheila Ibaniez</t>
  </si>
  <si>
    <t>rosalessheilajunio@gmail.com</t>
  </si>
  <si>
    <t>Silvana Gabriela Ciraldo</t>
  </si>
  <si>
    <t>silciraldo@hotmail.com</t>
  </si>
  <si>
    <t>Silvana Galvao</t>
  </si>
  <si>
    <t>argentinasilvana@hotmail.com</t>
  </si>
  <si>
    <t>Silvana Gomez</t>
  </si>
  <si>
    <t>silmago@hotmail.com.ar</t>
  </si>
  <si>
    <t>Silvana Martínez Visiedo</t>
  </si>
  <si>
    <t>silvip01@hotmail.com</t>
  </si>
  <si>
    <t>Silvana Mestralet</t>
  </si>
  <si>
    <t>2266 513499</t>
  </si>
  <si>
    <t>silmestra@hotmail.com</t>
  </si>
  <si>
    <t>Silvana Sosa</t>
  </si>
  <si>
    <t>slvnsosa@gmail.com</t>
  </si>
  <si>
    <t>Silvia Gonzalez</t>
  </si>
  <si>
    <t>Silvia Kamin</t>
  </si>
  <si>
    <t xml:space="preserve">Silvia Manuale </t>
  </si>
  <si>
    <t>Silvia Melli</t>
  </si>
  <si>
    <t>docsilvi@hotmail.com</t>
  </si>
  <si>
    <t>Silvia Muñoz</t>
  </si>
  <si>
    <t>Silvia Red</t>
  </si>
  <si>
    <t>15 4061 9063</t>
  </si>
  <si>
    <t>Silvia Samillán</t>
  </si>
  <si>
    <t>Silvia Vila</t>
  </si>
  <si>
    <t>Silvina Baigorria</t>
  </si>
  <si>
    <t>silbaigorria@hotmail.com</t>
  </si>
  <si>
    <t>Silvina Barros</t>
  </si>
  <si>
    <t>Silvina Cosentino</t>
  </si>
  <si>
    <t>sil_c22@hotmail.com</t>
  </si>
  <si>
    <t>Silvina de Brotoli</t>
  </si>
  <si>
    <t>Silvina Elizabeth Cubilla</t>
  </si>
  <si>
    <t>silvina.e.cubilla@gmail.com</t>
  </si>
  <si>
    <t>Silvina Mamani</t>
  </si>
  <si>
    <t xml:space="preserve">Silvina Mamani </t>
  </si>
  <si>
    <t>Silvina Marmo</t>
  </si>
  <si>
    <t>153362 0856</t>
  </si>
  <si>
    <t>Silvina Olivera</t>
  </si>
  <si>
    <t>Silvina Pita</t>
  </si>
  <si>
    <t>Silvina Rabuffi</t>
  </si>
  <si>
    <t>silvanarabuffi@hotmail.com</t>
  </si>
  <si>
    <t>Silvina Ruiz</t>
  </si>
  <si>
    <t>11 5668 2908</t>
  </si>
  <si>
    <t>silvinaruiz1969@gmail.com</t>
  </si>
  <si>
    <t>Silvina Tavani</t>
  </si>
  <si>
    <t>silvinatavani@gmail.com</t>
  </si>
  <si>
    <t xml:space="preserve">Siomara Rodriguez </t>
  </si>
  <si>
    <t>Sofía Alcon</t>
  </si>
  <si>
    <t>sofiaalcon2019@gmail.com</t>
  </si>
  <si>
    <t>Sofia Diharce</t>
  </si>
  <si>
    <t>Sofia Dojorti</t>
  </si>
  <si>
    <t xml:space="preserve">Sofia Eyheragaray </t>
  </si>
  <si>
    <t>Sofía Fernández</t>
  </si>
  <si>
    <t>Sofia Fresco</t>
  </si>
  <si>
    <t>Sofía Lamendula</t>
  </si>
  <si>
    <t xml:space="preserve">Sol Bonifacio </t>
  </si>
  <si>
    <t>15 3805 3102</t>
  </si>
  <si>
    <t>yo_digo_shytt@hotmail.com</t>
  </si>
  <si>
    <t>Sol Coz</t>
  </si>
  <si>
    <t>Sol Forastieri</t>
  </si>
  <si>
    <t>Solange Pompozzi</t>
  </si>
  <si>
    <t>jazchuteamo@gmail.com</t>
  </si>
  <si>
    <t>Soledad Gullo</t>
  </si>
  <si>
    <t>15 65760815</t>
  </si>
  <si>
    <t>soledad.gullo@hotmail.com.ar</t>
  </si>
  <si>
    <t>Soledad Martinez</t>
  </si>
  <si>
    <t>soledadmartinez.sol@gmail.com</t>
  </si>
  <si>
    <t>Soledad Palomino</t>
  </si>
  <si>
    <t>soleina2000@hotmail.com</t>
  </si>
  <si>
    <t>Sonia Antonaglia</t>
  </si>
  <si>
    <t>santonaglia@eves.com.ar</t>
  </si>
  <si>
    <t>Sonia D Addona</t>
  </si>
  <si>
    <t>Sonia D'Addona</t>
  </si>
  <si>
    <t>sdaddona@estudiozampella.com</t>
  </si>
  <si>
    <t>Sonia Pavez</t>
  </si>
  <si>
    <t>Sonia Romero</t>
  </si>
  <si>
    <t xml:space="preserve">Sonia Romero </t>
  </si>
  <si>
    <t>Stefania Larocca</t>
  </si>
  <si>
    <t>stefania.larocca1997@gmail.com</t>
  </si>
  <si>
    <t>Stella Maris Almara</t>
  </si>
  <si>
    <t>Stella Maris Casas Giovini</t>
  </si>
  <si>
    <t>esteyita@yahoo.com.ar</t>
  </si>
  <si>
    <t>Stella Maris Kippke</t>
  </si>
  <si>
    <t>Stella Maris Rodriguez</t>
  </si>
  <si>
    <t xml:space="preserve">stellarodriguezlic@gmail.com </t>
  </si>
  <si>
    <t>Stella Rodriguez</t>
  </si>
  <si>
    <t>stellita_82@hotmail.com</t>
  </si>
  <si>
    <t>Susana Agopian</t>
  </si>
  <si>
    <t>Susana Imbaldi</t>
  </si>
  <si>
    <t>susanaimbaldi@gmail.com</t>
  </si>
  <si>
    <t>Susana Rendo</t>
  </si>
  <si>
    <t>srendo@hotmail.com</t>
  </si>
  <si>
    <t>Susana Rodriguez</t>
  </si>
  <si>
    <t>15 3171 3895</t>
  </si>
  <si>
    <t>susu220581@yahoo.com.ar</t>
  </si>
  <si>
    <t>Susana Tamagusuku</t>
  </si>
  <si>
    <t>stamagusuku@gmail.com</t>
  </si>
  <si>
    <t>Tamara Belén Cordoba</t>
  </si>
  <si>
    <t>nahu_martinez@hotmail.com</t>
  </si>
  <si>
    <t>Tamara Marlene</t>
  </si>
  <si>
    <t>tamaramura4@gmail.com</t>
  </si>
  <si>
    <t>Tatiana Fernandez</t>
  </si>
  <si>
    <t>Teresa Castillo</t>
  </si>
  <si>
    <t>Tiago Aranguren</t>
  </si>
  <si>
    <t>Tina Torrisi</t>
  </si>
  <si>
    <t>Tiziana Luraschi</t>
  </si>
  <si>
    <t>Tiziana Stefani</t>
  </si>
  <si>
    <t>3584 494636</t>
  </si>
  <si>
    <t>tizianastefani@yahoo.com.ar</t>
  </si>
  <si>
    <t>Valentina Lagos</t>
  </si>
  <si>
    <t>Valeria Alvis</t>
  </si>
  <si>
    <t>15-5001-9843</t>
  </si>
  <si>
    <t>Valeria Amato</t>
  </si>
  <si>
    <t>valeriaiamato@gmail.com</t>
  </si>
  <si>
    <t>Valeria Casciola</t>
  </si>
  <si>
    <t>valeriadanto1@gmail.com</t>
  </si>
  <si>
    <t xml:space="preserve">Valeria Chipuli  </t>
  </si>
  <si>
    <t>Valeria Dodino</t>
  </si>
  <si>
    <t>15 45501211</t>
  </si>
  <si>
    <t>Valeria Dominguez</t>
  </si>
  <si>
    <t>Valeria Ferreira</t>
  </si>
  <si>
    <t>valeryaferreira@hotmail.com</t>
  </si>
  <si>
    <t>Valeria Fracchia</t>
  </si>
  <si>
    <t>(03525)-15533837</t>
  </si>
  <si>
    <t>valeriaquintana14@gmail.com</t>
  </si>
  <si>
    <t>Valeria Fraccia</t>
  </si>
  <si>
    <t>Valeria Fullone</t>
  </si>
  <si>
    <t>valeria_fullone@hotmail.com</t>
  </si>
  <si>
    <t>Valeria Martin</t>
  </si>
  <si>
    <t>15 5327 6806</t>
  </si>
  <si>
    <t>Valeria Martinez</t>
  </si>
  <si>
    <t>Valeria Memoli</t>
  </si>
  <si>
    <t>15 6110 4129</t>
  </si>
  <si>
    <t>valeria.memoli@gmail.com</t>
  </si>
  <si>
    <t>Valeria Menta</t>
  </si>
  <si>
    <t>Valeria Ortiz</t>
  </si>
  <si>
    <t>vale16_cta@hotmail.com</t>
  </si>
  <si>
    <t>Valeria Perez</t>
  </si>
  <si>
    <t>15 5995 7496</t>
  </si>
  <si>
    <t>Valeria Rodriguez Otero</t>
  </si>
  <si>
    <t>valeria.rodriguezotero@gmail.com</t>
  </si>
  <si>
    <t>Valeria Zaffaroni</t>
  </si>
  <si>
    <t>vczaffaroni@gmail.com</t>
  </si>
  <si>
    <t>Vallidio Paloscky</t>
  </si>
  <si>
    <t>15 5025 4740</t>
  </si>
  <si>
    <t>Vanesa Burgos</t>
  </si>
  <si>
    <t>vanesa86burgosalmada@gmail.com</t>
  </si>
  <si>
    <t>Vanesa Clua</t>
  </si>
  <si>
    <t>Vanesa.clua@gmail.com</t>
  </si>
  <si>
    <t>Vanesa Russo</t>
  </si>
  <si>
    <t>15 6023 7838</t>
  </si>
  <si>
    <t xml:space="preserve">Vanesa Schappi </t>
  </si>
  <si>
    <t>15 3065 3895</t>
  </si>
  <si>
    <t>Vanesa Sorribas</t>
  </si>
  <si>
    <t>Vanina Lopez</t>
  </si>
  <si>
    <t>lopezvanina527@gmail.com</t>
  </si>
  <si>
    <t>Vanina Opess</t>
  </si>
  <si>
    <t>Vanina Rodriguez</t>
  </si>
  <si>
    <t>vaninar99@gmail.com</t>
  </si>
  <si>
    <t>Vanina Videla</t>
  </si>
  <si>
    <t>vanividela@hotmail.com</t>
  </si>
  <si>
    <t>Vero Godoy</t>
  </si>
  <si>
    <t>veronicagodoy20@gmail.com</t>
  </si>
  <si>
    <t>Vero Liendo</t>
  </si>
  <si>
    <t>Verónica Alvarez</t>
  </si>
  <si>
    <t>Verónica Bravo</t>
  </si>
  <si>
    <t>mveronica.bravo@gmail.com</t>
  </si>
  <si>
    <t>Veronica Cachan</t>
  </si>
  <si>
    <t>veronicacachan@gmail.com</t>
  </si>
  <si>
    <t>Veronica Capurro</t>
  </si>
  <si>
    <t>Verónica Chiarantano</t>
  </si>
  <si>
    <t>verchiara@gmail.com</t>
  </si>
  <si>
    <t>Verónica Gallo</t>
  </si>
  <si>
    <t>Veronica Kucharczuk</t>
  </si>
  <si>
    <t>Verónica Molina</t>
  </si>
  <si>
    <t>15 6169 4416</t>
  </si>
  <si>
    <t>veromol@fibertel.com.ar</t>
  </si>
  <si>
    <t>Verónica Moyano</t>
  </si>
  <si>
    <t>veronica_77.lp@hotmail.com</t>
  </si>
  <si>
    <t>Verónica Ocampo</t>
  </si>
  <si>
    <t>vero.ocampo@yahoo.com.ar</t>
  </si>
  <si>
    <t>Verónica Rada</t>
  </si>
  <si>
    <t>15 3349 4026</t>
  </si>
  <si>
    <t xml:space="preserve">Verónica Salvador  </t>
  </si>
  <si>
    <t>15 6790 6051</t>
  </si>
  <si>
    <t>Verónica Sartorio</t>
  </si>
  <si>
    <t>veronicasartorio@hotmail.com</t>
  </si>
  <si>
    <t>Vicky Lalor</t>
  </si>
  <si>
    <t>vickylalor@gmail.com</t>
  </si>
  <si>
    <t>Vicky Tretrop</t>
  </si>
  <si>
    <t>Victor Hugo Soto</t>
  </si>
  <si>
    <t>2964 50-1899</t>
  </si>
  <si>
    <t>victorhugo.soto@gmail.com</t>
  </si>
  <si>
    <t>Victor Nieto</t>
  </si>
  <si>
    <t>victornieto878@gmail.com</t>
  </si>
  <si>
    <t>Victoria Barris</t>
  </si>
  <si>
    <t>15 5717 0245</t>
  </si>
  <si>
    <t>Victoria.Barris@cordialfinanciera.com.ar</t>
  </si>
  <si>
    <t>Victoria Freije</t>
  </si>
  <si>
    <t xml:space="preserve">Victoria Giagame </t>
  </si>
  <si>
    <t>victoria_gia@yahoo.com.ar</t>
  </si>
  <si>
    <t>Victoria Meschiati</t>
  </si>
  <si>
    <t>15 56467100</t>
  </si>
  <si>
    <t>Victoria Recouvreux</t>
  </si>
  <si>
    <t>15 5975 5961</t>
  </si>
  <si>
    <t>Victoria Santarelli</t>
  </si>
  <si>
    <t>Victoria Testa</t>
  </si>
  <si>
    <t>mvictoriatesta@gmail.com</t>
  </si>
  <si>
    <t>Victoria Torroba</t>
  </si>
  <si>
    <t>vickyt19755@hotmail.com</t>
  </si>
  <si>
    <t>Vilma Ponce</t>
  </si>
  <si>
    <t>vilma_ponce@hotmail.com</t>
  </si>
  <si>
    <t>Virginia Decarli</t>
  </si>
  <si>
    <t>virdecarli@outlook.com</t>
  </si>
  <si>
    <t>Virginia Durand</t>
  </si>
  <si>
    <t>15 5454 0011</t>
  </si>
  <si>
    <t>Virginia Gaido</t>
  </si>
  <si>
    <t>15-59322376</t>
  </si>
  <si>
    <t>Virginia Galarza</t>
  </si>
  <si>
    <t>15-5803-2165</t>
  </si>
  <si>
    <t>virginia@arunamerica.com</t>
  </si>
  <si>
    <t>Virginia Gines</t>
  </si>
  <si>
    <t>Virginia Prosperi</t>
  </si>
  <si>
    <t>15 5035 0820</t>
  </si>
  <si>
    <t>Vivana Von Freeden</t>
  </si>
  <si>
    <t>vivivon@gmail.com</t>
  </si>
  <si>
    <t>Vivian Martin</t>
  </si>
  <si>
    <t>Viviana Borrachero Valera</t>
  </si>
  <si>
    <t xml:space="preserve">Viviana Castellano </t>
  </si>
  <si>
    <t>15 5316 6061</t>
  </si>
  <si>
    <t>Viviana Feliciotti</t>
  </si>
  <si>
    <t>11 62975698</t>
  </si>
  <si>
    <t>ldealma@yahoo.com.ar</t>
  </si>
  <si>
    <t>Viviana Gagliano</t>
  </si>
  <si>
    <t>escorpion2310@hotmail.com</t>
  </si>
  <si>
    <t>Viviana Holzmann</t>
  </si>
  <si>
    <t>v_holzmann@hotmail.com</t>
  </si>
  <si>
    <t>Viviana Laura Alvarez</t>
  </si>
  <si>
    <t>Viviana Roget</t>
  </si>
  <si>
    <t>vroget@sion.com</t>
  </si>
  <si>
    <t>Viviana Vammalle</t>
  </si>
  <si>
    <t>vivianava@gmail.com</t>
  </si>
  <si>
    <t>Waldemar Fariña</t>
  </si>
  <si>
    <t>saracura70gmail.com</t>
  </si>
  <si>
    <t>Walter Arcagni</t>
  </si>
  <si>
    <t>Walter Juarez</t>
  </si>
  <si>
    <t>juarezwd@gmail.com</t>
  </si>
  <si>
    <t>Walter Mandirola</t>
  </si>
  <si>
    <t>15 3436 2478</t>
  </si>
  <si>
    <t>w.mandirola@gmail.com</t>
  </si>
  <si>
    <t>Walter Miceli</t>
  </si>
  <si>
    <t>15 3565 0449</t>
  </si>
  <si>
    <t>waldami09@hotmail.com</t>
  </si>
  <si>
    <t>Ximean Perez Portillo</t>
  </si>
  <si>
    <t>mxdlcpp@gmail.com</t>
  </si>
  <si>
    <t>Ximena Giacari</t>
  </si>
  <si>
    <t>Ximena Marasco</t>
  </si>
  <si>
    <t>15 5953 3613</t>
  </si>
  <si>
    <t>Ximena Perez Portillo</t>
  </si>
  <si>
    <t>Yamila Castelo</t>
  </si>
  <si>
    <t>yamilastereoph@gmail.com</t>
  </si>
  <si>
    <t>Yamila Marzziotti</t>
  </si>
  <si>
    <t>Yamila Santillan</t>
  </si>
  <si>
    <t>Yamila Shummi</t>
  </si>
  <si>
    <t>Yamila Ugalde</t>
  </si>
  <si>
    <t>15 6266 8081</t>
  </si>
  <si>
    <t>Yanina Cingolani</t>
  </si>
  <si>
    <t>02395-15407426</t>
  </si>
  <si>
    <t>yanina.cingolani@rectificacioncingolani.com</t>
  </si>
  <si>
    <t>Yanina Dolgaichuk</t>
  </si>
  <si>
    <t>Yanina Ferrari</t>
  </si>
  <si>
    <t>02226 15 520490</t>
  </si>
  <si>
    <t>yau@live.com.ar</t>
  </si>
  <si>
    <t>Yanina Lencina</t>
  </si>
  <si>
    <t>pintopintar.murales@gmail.com</t>
  </si>
  <si>
    <t>Yanina Otero</t>
  </si>
  <si>
    <t>15 3136-9471</t>
  </si>
  <si>
    <t>yanina.otero@gmail.com</t>
  </si>
  <si>
    <t>Yanine Aravena</t>
  </si>
  <si>
    <t>Yayo Gonzales</t>
  </si>
  <si>
    <t>5411 4564 4320</t>
  </si>
  <si>
    <t>Yesica Pare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</si>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</sst>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"/>
    <numFmt numFmtId="165" formatCode="mmm\ \-\ d"/>
    <numFmt numFmtId="166" formatCode="mmmm\ \.\ d"/>
    <numFmt numFmtId="167" formatCode="mmmm\ \-\ d"/>
  </numFmts>
  <fonts count="44">
    <font>
      <sz val="11"/>
      <color rgb="FF000000"/>
      <name val="Calibri"/>
    </font>
    <font>
      <sz val="11"/>
      <name val="Arial"/>
    </font>
    <font>
      <sz val="11"/>
      <color rgb="FF000000"/>
      <name val="Arial"/>
    </font>
    <font>
      <sz val="11"/>
      <name val="Arial"/>
    </font>
    <font>
      <sz val="11"/>
      <name val="Calibri"/>
    </font>
    <font>
      <sz val="11"/>
      <color rgb="FF222222"/>
      <name val="Arial"/>
    </font>
    <font>
      <u/>
      <sz val="11"/>
      <color rgb="FF000000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rgb="FF222222"/>
      <name val="Arial"/>
    </font>
    <font>
      <sz val="11"/>
      <color rgb="FF000000"/>
      <name val="Docs-Calibri"/>
    </font>
    <font>
      <u/>
      <sz val="11"/>
      <color rgb="FF000000"/>
      <name val="Arial"/>
    </font>
    <font>
      <sz val="11"/>
      <color rgb="FF555555"/>
      <name val="Roboto"/>
    </font>
    <font>
      <sz val="11"/>
      <color rgb="FF555555"/>
      <name val="Arial"/>
    </font>
    <font>
      <sz val="11"/>
      <color rgb="FF282828"/>
      <name val="Arial"/>
    </font>
    <font>
      <u/>
      <sz val="11"/>
      <color rgb="FF000000"/>
      <name val="Arial"/>
    </font>
    <font>
      <sz val="11"/>
      <color rgb="FF282828"/>
      <name val="Arial"/>
    </font>
    <font>
      <sz val="11"/>
      <name val="Calibri"/>
    </font>
    <font>
      <sz val="12"/>
      <color rgb="FF000000"/>
      <name val="&quot;Helvetica Neue&quot;"/>
    </font>
    <font>
      <sz val="11"/>
      <color rgb="FF555555"/>
      <name val="Arial"/>
    </font>
    <font>
      <sz val="11"/>
      <color rgb="FF222222"/>
      <name val="Roboto"/>
    </font>
    <font>
      <sz val="11"/>
      <color rgb="FF000000"/>
      <name val="Helvetica"/>
    </font>
    <font>
      <sz val="11"/>
      <color rgb="FF222222"/>
      <name val="Sans-serif"/>
    </font>
    <font>
      <u/>
      <sz val="11"/>
      <color rgb="FF000000"/>
      <name val="Arial"/>
    </font>
    <font>
      <sz val="11"/>
      <color rgb="FFFF0000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sz val="12"/>
      <color rgb="FF222222"/>
      <name val="&quot;Helvetica Neue&quot;"/>
    </font>
    <font>
      <sz val="11"/>
      <color rgb="FF1D2129"/>
      <name val="Arial"/>
    </font>
    <font>
      <sz val="11"/>
      <color rgb="FF1C1E21"/>
      <name val="Arial"/>
    </font>
    <font>
      <sz val="12"/>
      <name val="Helvetica"/>
    </font>
    <font>
      <u/>
      <sz val="11"/>
      <color rgb="FF222222"/>
      <name val="Arial"/>
    </font>
    <font>
      <sz val="11"/>
      <color rgb="FF202124"/>
      <name val="Arial"/>
    </font>
    <font>
      <sz val="11"/>
      <color rgb="FF000000"/>
      <name val="Verdana"/>
    </font>
    <font>
      <u/>
      <sz val="11"/>
      <color rgb="FF0000FF"/>
      <name val="Arial"/>
    </font>
    <font>
      <sz val="11"/>
      <color rgb="FF000000"/>
      <name val="Helvetica"/>
    </font>
    <font>
      <sz val="11"/>
      <color rgb="FF5F6368"/>
      <name val="Arial"/>
    </font>
    <font>
      <sz val="11"/>
      <color rgb="FF1D2129"/>
      <name val="Helvetica"/>
    </font>
    <font>
      <sz val="11"/>
      <color rgb="FF202124"/>
      <name val="Roboto"/>
    </font>
    <font>
      <u/>
      <sz val="11"/>
      <color rgb="FF000000"/>
      <name val="Arial"/>
    </font>
    <font>
      <sz val="11"/>
      <color rgb="FF000000"/>
      <name val="Sans-serif"/>
    </font>
    <font>
      <sz val="11"/>
      <color rgb="FF000000"/>
      <name val="Roboto"/>
    </font>
    <font>
      <u/>
      <sz val="11"/>
      <color rgb="FF1155CC"/>
      <name val="Arial"/>
    </font>
    <font>
      <sz val="11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17" fontId="2" fillId="0" borderId="0" xfId="0" applyNumberFormat="1" applyFont="1"/>
    <xf numFmtId="164" fontId="4" fillId="0" borderId="0" xfId="0" applyNumberFormat="1" applyFont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6" fillId="0" borderId="0" xfId="0" applyFont="1" applyAlignment="1">
      <alignment vertical="top"/>
    </xf>
    <xf numFmtId="17" fontId="2" fillId="3" borderId="0" xfId="0" applyNumberFormat="1" applyFont="1" applyFill="1"/>
    <xf numFmtId="0" fontId="2" fillId="0" borderId="0" xfId="0" applyFont="1" applyAlignment="1">
      <alignment horizontal="right"/>
    </xf>
    <xf numFmtId="0" fontId="4" fillId="3" borderId="0" xfId="0" applyFont="1" applyFill="1"/>
    <xf numFmtId="0" fontId="2" fillId="3" borderId="0" xfId="0" applyFont="1" applyFill="1" applyAlignment="1">
      <alignment horizontal="right"/>
    </xf>
    <xf numFmtId="17" fontId="2" fillId="0" borderId="0" xfId="0" applyNumberFormat="1" applyFont="1" applyAlignment="1">
      <alignment horizontal="right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8" fillId="3" borderId="0" xfId="0" applyFont="1" applyFill="1"/>
    <xf numFmtId="0" fontId="5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64" fontId="0" fillId="3" borderId="0" xfId="0" applyNumberFormat="1" applyFill="1"/>
    <xf numFmtId="165" fontId="2" fillId="0" borderId="0" xfId="0" applyNumberFormat="1" applyFont="1" applyAlignment="1">
      <alignment horizontal="right"/>
    </xf>
    <xf numFmtId="0" fontId="9" fillId="3" borderId="0" xfId="0" applyFont="1" applyFill="1"/>
    <xf numFmtId="0" fontId="9" fillId="3" borderId="0" xfId="0" applyFont="1" applyFill="1" applyAlignment="1">
      <alignment horizontal="left"/>
    </xf>
    <xf numFmtId="165" fontId="2" fillId="0" borderId="0" xfId="0" applyNumberFormat="1" applyFont="1"/>
    <xf numFmtId="164" fontId="4" fillId="3" borderId="0" xfId="0" applyNumberFormat="1" applyFont="1" applyFill="1"/>
    <xf numFmtId="164" fontId="2" fillId="3" borderId="0" xfId="0" applyNumberFormat="1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horizontal="left"/>
    </xf>
    <xf numFmtId="164" fontId="2" fillId="0" borderId="0" xfId="0" applyNumberFormat="1" applyFont="1"/>
    <xf numFmtId="0" fontId="12" fillId="3" borderId="0" xfId="0" applyFont="1" applyFill="1"/>
    <xf numFmtId="0" fontId="9" fillId="3" borderId="0" xfId="0" applyFont="1" applyFill="1" applyAlignment="1">
      <alignment horizontal="right"/>
    </xf>
    <xf numFmtId="0" fontId="5" fillId="3" borderId="1" xfId="0" applyFont="1" applyFill="1" applyBorder="1" applyAlignment="1">
      <alignment horizontal="left"/>
    </xf>
    <xf numFmtId="0" fontId="3" fillId="3" borderId="0" xfId="0" applyFont="1" applyFill="1"/>
    <xf numFmtId="0" fontId="13" fillId="3" borderId="0" xfId="0" applyFont="1" applyFill="1"/>
    <xf numFmtId="0" fontId="1" fillId="3" borderId="0" xfId="0" applyFont="1" applyFill="1" applyAlignment="1">
      <alignment horizontal="left"/>
    </xf>
    <xf numFmtId="164" fontId="2" fillId="3" borderId="0" xfId="0" applyNumberFormat="1" applyFont="1" applyFill="1"/>
    <xf numFmtId="0" fontId="0" fillId="3" borderId="0" xfId="0" applyFill="1" applyAlignment="1">
      <alignment horizontal="left"/>
    </xf>
    <xf numFmtId="0" fontId="2" fillId="0" borderId="1" xfId="0" applyFont="1" applyBorder="1" applyAlignment="1">
      <alignment horizontal="left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" fillId="4" borderId="0" xfId="0" applyFont="1" applyFill="1"/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right"/>
    </xf>
    <xf numFmtId="0" fontId="15" fillId="0" borderId="0" xfId="0" applyFont="1"/>
    <xf numFmtId="166" fontId="3" fillId="0" borderId="0" xfId="0" applyNumberFormat="1" applyFont="1"/>
    <xf numFmtId="167" fontId="3" fillId="3" borderId="0" xfId="0" applyNumberFormat="1" applyFont="1" applyFill="1"/>
    <xf numFmtId="0" fontId="16" fillId="3" borderId="0" xfId="0" applyFont="1" applyFill="1" applyAlignment="1">
      <alignment horizontal="left"/>
    </xf>
    <xf numFmtId="0" fontId="16" fillId="3" borderId="0" xfId="0" applyFont="1" applyFill="1"/>
    <xf numFmtId="0" fontId="17" fillId="3" borderId="0" xfId="0" applyFont="1" applyFill="1"/>
    <xf numFmtId="0" fontId="18" fillId="0" borderId="0" xfId="0" applyFont="1" applyAlignment="1">
      <alignment horizontal="left"/>
    </xf>
    <xf numFmtId="0" fontId="19" fillId="3" borderId="0" xfId="0" applyFont="1" applyFill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7" fillId="0" borderId="2" xfId="0" applyFont="1" applyBorder="1"/>
    <xf numFmtId="0" fontId="7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1" fillId="0" borderId="2" xfId="0" applyFont="1" applyBorder="1"/>
    <xf numFmtId="0" fontId="3" fillId="0" borderId="2" xfId="0" applyFont="1" applyBorder="1"/>
    <xf numFmtId="0" fontId="20" fillId="3" borderId="0" xfId="0" applyFont="1" applyFill="1"/>
    <xf numFmtId="0" fontId="21" fillId="0" borderId="0" xfId="0" applyFont="1"/>
    <xf numFmtId="3" fontId="2" fillId="0" borderId="0" xfId="0" applyNumberFormat="1" applyFont="1" applyAlignment="1">
      <alignment horizontal="left"/>
    </xf>
    <xf numFmtId="0" fontId="22" fillId="3" borderId="0" xfId="0" applyFont="1" applyFill="1" applyAlignment="1">
      <alignment horizontal="left"/>
    </xf>
    <xf numFmtId="0" fontId="23" fillId="3" borderId="0" xfId="0" applyFont="1" applyFill="1"/>
    <xf numFmtId="0" fontId="22" fillId="3" borderId="0" xfId="0" applyFont="1" applyFill="1"/>
    <xf numFmtId="0" fontId="24" fillId="3" borderId="0" xfId="0" applyFont="1" applyFill="1"/>
    <xf numFmtId="0" fontId="24" fillId="3" borderId="0" xfId="0" applyFont="1" applyFill="1" applyAlignment="1">
      <alignment horizontal="left"/>
    </xf>
    <xf numFmtId="0" fontId="25" fillId="3" borderId="0" xfId="0" applyFont="1" applyFill="1"/>
    <xf numFmtId="0" fontId="26" fillId="3" borderId="0" xfId="0" applyFont="1" applyFill="1"/>
    <xf numFmtId="164" fontId="4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13" fillId="3" borderId="0" xfId="0" applyFont="1" applyFill="1" applyAlignment="1">
      <alignment vertical="top"/>
    </xf>
    <xf numFmtId="0" fontId="27" fillId="3" borderId="0" xfId="0" applyFont="1" applyFill="1" applyAlignment="1">
      <alignment horizontal="left"/>
    </xf>
    <xf numFmtId="0" fontId="28" fillId="3" borderId="0" xfId="0" applyFont="1" applyFill="1"/>
    <xf numFmtId="0" fontId="29" fillId="3" borderId="0" xfId="0" applyFont="1" applyFill="1"/>
    <xf numFmtId="0" fontId="29" fillId="3" borderId="0" xfId="0" applyFont="1" applyFill="1" applyAlignment="1">
      <alignment horizontal="right"/>
    </xf>
    <xf numFmtId="0" fontId="30" fillId="3" borderId="0" xfId="0" applyFont="1" applyFill="1" applyAlignment="1">
      <alignment horizontal="right"/>
    </xf>
    <xf numFmtId="0" fontId="30" fillId="3" borderId="0" xfId="0" applyFont="1" applyFill="1"/>
    <xf numFmtId="0" fontId="24" fillId="0" borderId="0" xfId="0" applyFont="1"/>
    <xf numFmtId="0" fontId="31" fillId="3" borderId="0" xfId="0" applyFont="1" applyFill="1"/>
    <xf numFmtId="0" fontId="32" fillId="3" borderId="0" xfId="0" applyFont="1" applyFill="1"/>
    <xf numFmtId="0" fontId="33" fillId="3" borderId="0" xfId="0" applyFont="1" applyFill="1" applyAlignment="1">
      <alignment horizontal="left"/>
    </xf>
    <xf numFmtId="0" fontId="34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35" fillId="3" borderId="0" xfId="0" applyFont="1" applyFill="1" applyAlignment="1">
      <alignment horizontal="left"/>
    </xf>
    <xf numFmtId="0" fontId="36" fillId="3" borderId="0" xfId="0" applyFont="1" applyFill="1"/>
    <xf numFmtId="0" fontId="37" fillId="3" borderId="0" xfId="0" applyFont="1" applyFill="1"/>
    <xf numFmtId="0" fontId="38" fillId="3" borderId="0" xfId="0" applyFont="1" applyFill="1"/>
    <xf numFmtId="0" fontId="39" fillId="3" borderId="0" xfId="0" applyFont="1" applyFill="1" applyAlignment="1">
      <alignment horizontal="left" vertical="top"/>
    </xf>
    <xf numFmtId="0" fontId="40" fillId="3" borderId="0" xfId="0" applyFont="1" applyFill="1"/>
    <xf numFmtId="0" fontId="40" fillId="3" borderId="0" xfId="0" applyFont="1" applyFill="1" applyAlignment="1">
      <alignment horizontal="left"/>
    </xf>
    <xf numFmtId="0" fontId="41" fillId="3" borderId="0" xfId="0" applyFont="1" applyFill="1"/>
    <xf numFmtId="167" fontId="2" fillId="3" borderId="0" xfId="0" applyNumberFormat="1" applyFont="1" applyFill="1"/>
    <xf numFmtId="0" fontId="32" fillId="3" borderId="0" xfId="0" applyFont="1" applyFill="1" applyAlignment="1">
      <alignment horizontal="left"/>
    </xf>
    <xf numFmtId="0" fontId="42" fillId="0" borderId="0" xfId="0" applyFont="1"/>
    <xf numFmtId="0" fontId="4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sangregorio@gmail.com" TargetMode="External"/><Relationship Id="rId13" Type="http://schemas.openxmlformats.org/officeDocument/2006/relationships/hyperlink" Target="mailto:porcarokj@gmail.com" TargetMode="External"/><Relationship Id="rId18" Type="http://schemas.openxmlformats.org/officeDocument/2006/relationships/hyperlink" Target="mailto:rivasmaines@gmail.com" TargetMode="External"/><Relationship Id="rId3" Type="http://schemas.openxmlformats.org/officeDocument/2006/relationships/hyperlink" Target="mailto:yokarol_2@yahoo.com.ar" TargetMode="External"/><Relationship Id="rId21" Type="http://schemas.openxmlformats.org/officeDocument/2006/relationships/hyperlink" Target="mailto:lozanopia@hotmail.com" TargetMode="External"/><Relationship Id="rId7" Type="http://schemas.openxmlformats.org/officeDocument/2006/relationships/hyperlink" Target="mailto:dunkel.schon@gmail.com" TargetMode="External"/><Relationship Id="rId12" Type="http://schemas.openxmlformats.org/officeDocument/2006/relationships/hyperlink" Target="mailto:guidobraco@gmail.com" TargetMode="External"/><Relationship Id="rId17" Type="http://schemas.openxmlformats.org/officeDocument/2006/relationships/hyperlink" Target="mailto:hermida.marcelo@gmail.com" TargetMode="External"/><Relationship Id="rId2" Type="http://schemas.openxmlformats.org/officeDocument/2006/relationships/hyperlink" Target="mailto:agiusti2@gmail.com" TargetMode="External"/><Relationship Id="rId16" Type="http://schemas.openxmlformats.org/officeDocument/2006/relationships/hyperlink" Target="mailto:luciladonnarumma@hotmail.com" TargetMode="External"/><Relationship Id="rId20" Type="http://schemas.openxmlformats.org/officeDocument/2006/relationships/hyperlink" Target="mailto:normibianco@hotmail.com" TargetMode="External"/><Relationship Id="rId1" Type="http://schemas.openxmlformats.org/officeDocument/2006/relationships/hyperlink" Target="mailto:soladria@gmail.com" TargetMode="External"/><Relationship Id="rId6" Type="http://schemas.openxmlformats.org/officeDocument/2006/relationships/hyperlink" Target="mailto:cristolaba23@hotmail.com" TargetMode="External"/><Relationship Id="rId11" Type="http://schemas.openxmlformats.org/officeDocument/2006/relationships/hyperlink" Target="mailto:fernandopocho43@gmail.com" TargetMode="External"/><Relationship Id="rId5" Type="http://schemas.openxmlformats.org/officeDocument/2006/relationships/hyperlink" Target="mailto:kristerguy@gmail.com" TargetMode="External"/><Relationship Id="rId15" Type="http://schemas.openxmlformats.org/officeDocument/2006/relationships/hyperlink" Target="mailto:petracuervo@hotmail.com" TargetMode="External"/><Relationship Id="rId10" Type="http://schemas.openxmlformats.org/officeDocument/2006/relationships/hyperlink" Target="mailto:elbermediart@hotmail.com" TargetMode="External"/><Relationship Id="rId19" Type="http://schemas.openxmlformats.org/officeDocument/2006/relationships/hyperlink" Target="mailto:palirossi@gmail.com" TargetMode="External"/><Relationship Id="rId4" Type="http://schemas.openxmlformats.org/officeDocument/2006/relationships/hyperlink" Target="mailto:mclaudia7777@hotmail.com" TargetMode="External"/><Relationship Id="rId9" Type="http://schemas.openxmlformats.org/officeDocument/2006/relationships/hyperlink" Target="mailto:elbermediart@hotmail.com" TargetMode="External"/><Relationship Id="rId14" Type="http://schemas.openxmlformats.org/officeDocument/2006/relationships/hyperlink" Target="mailto:jesicerrano81@hotmail.com.ar" TargetMode="External"/><Relationship Id="rId22" Type="http://schemas.openxmlformats.org/officeDocument/2006/relationships/hyperlink" Target="http://saracura70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30"/>
  <sheetViews>
    <sheetView tabSelected="1" topLeftCell="A91" workbookViewId="0">
      <selection activeCell="B38" sqref="B38"/>
    </sheetView>
  </sheetViews>
  <sheetFormatPr baseColWidth="10" defaultColWidth="17.26171875" defaultRowHeight="15" customHeight="1"/>
  <cols>
    <col min="1" max="1" width="31.15625" customWidth="1"/>
    <col min="2" max="2" width="14" customWidth="1"/>
    <col min="3" max="3" width="42.68359375" customWidth="1"/>
    <col min="4" max="4" width="18" customWidth="1"/>
    <col min="5" max="5" width="11.83984375" customWidth="1"/>
    <col min="6" max="6" width="11" customWidth="1"/>
    <col min="7" max="7" width="10.68359375" customWidth="1"/>
    <col min="8" max="8" width="17.15625" customWidth="1"/>
    <col min="9" max="9" width="17" customWidth="1"/>
    <col min="10" max="10" width="13.26171875" customWidth="1"/>
    <col min="11" max="11" width="12" customWidth="1"/>
    <col min="12" max="12" width="9.68359375" customWidth="1"/>
    <col min="13" max="13" width="10.15625" customWidth="1"/>
    <col min="14" max="14" width="13.15625" customWidth="1"/>
    <col min="15" max="15" width="12.26171875" customWidth="1"/>
    <col min="16" max="16" width="15.15625" customWidth="1"/>
    <col min="17" max="25" width="10.68359375" customWidth="1"/>
  </cols>
  <sheetData>
    <row r="1" spans="1:17" ht="14.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</row>
    <row r="2" spans="1:17" ht="14.4">
      <c r="A2" s="6" t="s">
        <v>17</v>
      </c>
      <c r="B2" s="7"/>
      <c r="C2" s="6" t="s">
        <v>18</v>
      </c>
      <c r="H2" s="9" t="s">
        <v>19</v>
      </c>
      <c r="I2" s="10" t="s">
        <v>20</v>
      </c>
      <c r="J2" s="11"/>
      <c r="K2" s="11"/>
      <c r="L2" s="11"/>
    </row>
    <row r="3" spans="1:17" ht="14.4">
      <c r="A3" s="6" t="s">
        <v>21</v>
      </c>
      <c r="B3" s="7"/>
      <c r="C3" s="7"/>
      <c r="H3" s="9"/>
      <c r="I3" s="11"/>
      <c r="J3" s="11"/>
      <c r="K3" s="11"/>
      <c r="L3" s="11"/>
      <c r="Q3" s="12" t="s">
        <v>22</v>
      </c>
    </row>
    <row r="4" spans="1:17" ht="14.4">
      <c r="A4" s="6" t="s">
        <v>21</v>
      </c>
      <c r="B4" s="7"/>
      <c r="C4" s="7"/>
      <c r="H4" s="9" t="s">
        <v>23</v>
      </c>
      <c r="I4" s="11"/>
      <c r="J4" s="11"/>
      <c r="K4" s="11"/>
      <c r="L4" s="11"/>
    </row>
    <row r="5" spans="1:17" ht="14.4">
      <c r="A5" s="9" t="s">
        <v>21</v>
      </c>
      <c r="B5" s="7"/>
      <c r="C5" s="7"/>
      <c r="H5" s="9"/>
      <c r="I5" s="11" t="s">
        <v>24</v>
      </c>
      <c r="J5" s="11"/>
      <c r="K5" s="11"/>
      <c r="L5" s="11"/>
    </row>
    <row r="6" spans="1:17" ht="14.4">
      <c r="A6" s="6" t="s">
        <v>21</v>
      </c>
      <c r="B6" s="7"/>
      <c r="C6" s="7"/>
      <c r="H6" s="9"/>
      <c r="I6" s="11"/>
      <c r="J6" s="11"/>
      <c r="K6" s="11" t="s">
        <v>24</v>
      </c>
      <c r="L6" s="11"/>
    </row>
    <row r="7" spans="1:17" ht="14.4">
      <c r="A7" s="13" t="s">
        <v>25</v>
      </c>
      <c r="B7" s="13" t="s">
        <v>26</v>
      </c>
      <c r="C7" s="14" t="s">
        <v>27</v>
      </c>
      <c r="D7" s="14"/>
      <c r="E7" s="14"/>
      <c r="F7" s="14"/>
      <c r="G7" s="14"/>
      <c r="H7" s="10"/>
      <c r="I7" s="10"/>
      <c r="J7" s="10"/>
      <c r="K7" s="10"/>
      <c r="L7" s="10"/>
      <c r="M7" s="15">
        <v>42064</v>
      </c>
      <c r="N7" s="14"/>
      <c r="O7" s="14"/>
      <c r="P7" s="14"/>
    </row>
    <row r="8" spans="1:17" ht="14.4">
      <c r="A8" s="6" t="s">
        <v>28</v>
      </c>
      <c r="B8" s="7"/>
      <c r="C8" s="6"/>
      <c r="H8" s="9" t="s">
        <v>29</v>
      </c>
      <c r="I8" s="11"/>
      <c r="J8" s="11"/>
      <c r="K8" s="11"/>
      <c r="L8" s="11"/>
    </row>
    <row r="9" spans="1:17" ht="14.4">
      <c r="A9" s="6" t="s">
        <v>28</v>
      </c>
      <c r="B9" s="7"/>
      <c r="C9" s="6"/>
      <c r="H9" s="9"/>
      <c r="I9" s="10" t="s">
        <v>30</v>
      </c>
      <c r="J9" s="11"/>
      <c r="K9" s="11"/>
      <c r="L9" s="11"/>
    </row>
    <row r="10" spans="1:17" ht="14.4">
      <c r="A10" s="6" t="s">
        <v>28</v>
      </c>
      <c r="B10" s="7"/>
      <c r="C10" s="6"/>
      <c r="H10" s="9"/>
      <c r="I10" s="11"/>
      <c r="J10" s="10" t="s">
        <v>31</v>
      </c>
      <c r="K10" s="11"/>
      <c r="L10" s="11"/>
    </row>
    <row r="11" spans="1:17" ht="14.4">
      <c r="A11" s="6" t="s">
        <v>32</v>
      </c>
      <c r="B11" s="8">
        <v>1161286168</v>
      </c>
      <c r="C11" s="6" t="s">
        <v>33</v>
      </c>
      <c r="H11" s="6" t="s">
        <v>34</v>
      </c>
      <c r="I11" s="10" t="s">
        <v>35</v>
      </c>
    </row>
    <row r="12" spans="1:17" ht="14.4">
      <c r="A12" s="6" t="s">
        <v>32</v>
      </c>
      <c r="B12" s="7"/>
      <c r="C12" s="6"/>
      <c r="H12" s="9"/>
      <c r="I12" s="11"/>
      <c r="J12" s="11"/>
      <c r="K12" s="11"/>
      <c r="L12" s="11"/>
      <c r="Q12" s="16">
        <v>45985</v>
      </c>
    </row>
    <row r="13" spans="1:17" ht="14.4">
      <c r="A13" s="6" t="s">
        <v>36</v>
      </c>
      <c r="B13" s="17" t="s">
        <v>37</v>
      </c>
      <c r="C13" s="18" t="s">
        <v>38</v>
      </c>
      <c r="D13" s="14"/>
      <c r="E13" s="14"/>
      <c r="F13" s="14"/>
      <c r="G13" s="6"/>
      <c r="H13" s="9"/>
      <c r="I13" s="10"/>
      <c r="J13" s="10"/>
      <c r="K13" s="10" t="s">
        <v>39</v>
      </c>
      <c r="L13" s="10"/>
    </row>
    <row r="14" spans="1:17" ht="14.4">
      <c r="A14" s="14" t="s">
        <v>40</v>
      </c>
      <c r="B14" s="14" t="s">
        <v>41</v>
      </c>
      <c r="C14" s="19" t="str">
        <f>HYPERLINK("mailto:adrianabalcarce@fibertel.com.ar","adrianabalcarce@fibertel.com.ar")</f>
        <v>adrianabalcarce@fibertel.com.ar</v>
      </c>
      <c r="D14" s="14"/>
      <c r="E14" s="14"/>
      <c r="F14" s="15">
        <v>40789</v>
      </c>
      <c r="G14" s="14"/>
      <c r="H14" s="20">
        <v>41277</v>
      </c>
      <c r="I14" s="10"/>
      <c r="J14" s="10"/>
      <c r="K14" s="10"/>
      <c r="L14" s="10"/>
      <c r="M14" s="14"/>
      <c r="N14" s="14"/>
      <c r="O14" s="14"/>
      <c r="P14" s="14"/>
    </row>
    <row r="15" spans="1:17" ht="14.4">
      <c r="A15" s="6" t="s">
        <v>42</v>
      </c>
      <c r="B15" s="13" t="s">
        <v>43</v>
      </c>
      <c r="C15" s="13" t="s">
        <v>44</v>
      </c>
      <c r="E15" s="21" t="s">
        <v>45</v>
      </c>
      <c r="H15" s="22"/>
      <c r="I15" s="11"/>
      <c r="J15" s="11"/>
      <c r="K15" s="11"/>
      <c r="L15" s="11"/>
      <c r="P15" s="14"/>
    </row>
    <row r="16" spans="1:17" ht="14.4">
      <c r="A16" s="14" t="s">
        <v>46</v>
      </c>
      <c r="B16" s="14"/>
      <c r="C16" s="14" t="s">
        <v>47</v>
      </c>
      <c r="D16" s="21"/>
      <c r="E16" s="15">
        <v>41642</v>
      </c>
      <c r="F16" s="14"/>
      <c r="G16" s="14"/>
      <c r="H16" s="10"/>
      <c r="I16" s="10"/>
      <c r="J16" s="10"/>
      <c r="K16" s="10"/>
      <c r="L16" s="10"/>
      <c r="M16" s="14"/>
      <c r="N16" s="14"/>
      <c r="O16" s="14"/>
      <c r="P16" s="14"/>
    </row>
    <row r="17" spans="1:16" ht="14.4">
      <c r="A17" s="6" t="s">
        <v>48</v>
      </c>
      <c r="B17" s="7"/>
      <c r="C17" s="6"/>
      <c r="H17" s="9" t="s">
        <v>49</v>
      </c>
      <c r="I17" s="10" t="s">
        <v>50</v>
      </c>
      <c r="J17" s="11"/>
      <c r="K17" s="11"/>
      <c r="L17" s="11"/>
    </row>
    <row r="18" spans="1:16" ht="14.4">
      <c r="A18" s="6" t="s">
        <v>48</v>
      </c>
      <c r="B18" s="7"/>
      <c r="C18" s="6"/>
      <c r="H18" s="9"/>
      <c r="I18" s="11"/>
      <c r="J18" s="10" t="s">
        <v>51</v>
      </c>
      <c r="K18" s="11"/>
      <c r="L18" s="11"/>
    </row>
    <row r="19" spans="1:16" ht="14.4">
      <c r="A19" s="6" t="s">
        <v>52</v>
      </c>
      <c r="B19" s="14"/>
      <c r="C19" s="14" t="s">
        <v>53</v>
      </c>
      <c r="D19" s="21"/>
      <c r="E19" s="14"/>
      <c r="F19" s="14"/>
      <c r="G19" s="6"/>
      <c r="H19" s="9" t="s">
        <v>54</v>
      </c>
      <c r="I19" s="23" t="s">
        <v>55</v>
      </c>
      <c r="J19" s="10" t="s">
        <v>56</v>
      </c>
      <c r="K19" s="10"/>
      <c r="L19" s="10"/>
      <c r="P19" s="14"/>
    </row>
    <row r="20" spans="1:16" ht="14.4">
      <c r="A20" s="17" t="s">
        <v>57</v>
      </c>
      <c r="B20" s="13" t="s">
        <v>58</v>
      </c>
      <c r="C20" s="13" t="s">
        <v>59</v>
      </c>
      <c r="D20" s="24">
        <v>40819</v>
      </c>
      <c r="E20" s="14"/>
      <c r="F20" s="14"/>
      <c r="G20" s="14"/>
      <c r="H20" s="10"/>
      <c r="I20" s="10"/>
      <c r="J20" s="10"/>
      <c r="K20" s="10"/>
      <c r="L20" s="10"/>
      <c r="M20" s="14"/>
      <c r="N20" s="14"/>
      <c r="O20" s="14"/>
      <c r="P20" s="14"/>
    </row>
    <row r="21" spans="1:16" ht="14.4">
      <c r="A21" s="25" t="s">
        <v>60</v>
      </c>
      <c r="B21" s="26" t="s">
        <v>61</v>
      </c>
      <c r="C21" s="25" t="s">
        <v>62</v>
      </c>
      <c r="D21" s="21" t="s">
        <v>63</v>
      </c>
      <c r="H21" s="22"/>
      <c r="I21" s="11"/>
      <c r="J21" s="11"/>
      <c r="K21" s="11"/>
      <c r="L21" s="11"/>
      <c r="P21" s="14"/>
    </row>
    <row r="22" spans="1:16" ht="14.4">
      <c r="A22" s="6" t="s">
        <v>64</v>
      </c>
      <c r="B22" s="7"/>
      <c r="C22" s="7"/>
      <c r="H22" s="9" t="s">
        <v>65</v>
      </c>
      <c r="I22" s="11"/>
      <c r="J22" s="11"/>
      <c r="K22" s="11"/>
      <c r="L22" s="11"/>
    </row>
    <row r="23" spans="1:16" ht="14.4">
      <c r="A23" s="6" t="s">
        <v>66</v>
      </c>
      <c r="B23" s="7"/>
      <c r="C23" s="7"/>
      <c r="H23" s="9" t="s">
        <v>67</v>
      </c>
      <c r="I23" s="10" t="s">
        <v>68</v>
      </c>
      <c r="J23" s="11"/>
      <c r="K23" s="11"/>
      <c r="L23" s="11"/>
    </row>
    <row r="24" spans="1:16" ht="14.4">
      <c r="A24" s="14" t="s">
        <v>69</v>
      </c>
      <c r="B24" s="27">
        <v>1565155460</v>
      </c>
      <c r="C24" s="28" t="s">
        <v>70</v>
      </c>
      <c r="D24" s="21"/>
      <c r="E24" s="14"/>
      <c r="F24" s="14"/>
      <c r="G24" s="6"/>
      <c r="H24" s="30" t="s">
        <v>71</v>
      </c>
      <c r="I24" s="10" t="s">
        <v>72</v>
      </c>
      <c r="J24" s="30" t="s">
        <v>73</v>
      </c>
      <c r="K24" s="10" t="s">
        <v>74</v>
      </c>
      <c r="L24" s="11"/>
      <c r="P24" s="26" t="s">
        <v>75</v>
      </c>
    </row>
    <row r="25" spans="1:16" ht="14.4">
      <c r="A25" s="6" t="s">
        <v>69</v>
      </c>
      <c r="B25" s="7"/>
      <c r="C25" s="6"/>
      <c r="H25" s="9"/>
      <c r="I25" s="11"/>
      <c r="J25" s="11"/>
      <c r="K25" s="11"/>
      <c r="L25" s="11"/>
      <c r="P25" s="7" t="s">
        <v>49</v>
      </c>
    </row>
    <row r="26" spans="1:16" ht="14.4">
      <c r="A26" s="7" t="s">
        <v>76</v>
      </c>
      <c r="B26" s="7"/>
      <c r="C26" s="7" t="s">
        <v>77</v>
      </c>
      <c r="H26" s="9" t="s">
        <v>20</v>
      </c>
      <c r="I26" s="11"/>
      <c r="J26" s="11"/>
      <c r="K26" s="11"/>
      <c r="L26" s="11"/>
    </row>
    <row r="27" spans="1:16" ht="14.4">
      <c r="A27" s="6" t="s">
        <v>78</v>
      </c>
      <c r="B27" s="32"/>
      <c r="C27" s="33" t="s">
        <v>79</v>
      </c>
      <c r="D27" s="34"/>
      <c r="E27" s="21" t="s">
        <v>80</v>
      </c>
      <c r="H27" s="22"/>
      <c r="I27" s="11"/>
      <c r="J27" s="11"/>
      <c r="K27" s="11"/>
      <c r="L27" s="11"/>
      <c r="P27" s="14"/>
    </row>
    <row r="28" spans="1:16" ht="14.4">
      <c r="A28" s="6" t="s">
        <v>81</v>
      </c>
      <c r="B28" s="7"/>
      <c r="C28" s="7"/>
      <c r="H28" s="9" t="s">
        <v>82</v>
      </c>
      <c r="I28" s="11"/>
      <c r="J28" s="11"/>
      <c r="K28" s="11"/>
      <c r="L28" s="11"/>
    </row>
    <row r="29" spans="1:16" ht="14.4">
      <c r="A29" s="9" t="s">
        <v>81</v>
      </c>
      <c r="B29" s="7"/>
      <c r="C29" s="7"/>
      <c r="H29" s="9"/>
      <c r="I29" s="35">
        <v>45713</v>
      </c>
      <c r="J29" s="11"/>
      <c r="K29" s="11"/>
      <c r="L29" s="11"/>
    </row>
    <row r="30" spans="1:16" ht="14.4">
      <c r="A30" s="14" t="s">
        <v>83</v>
      </c>
      <c r="B30" s="27">
        <v>1565519410</v>
      </c>
      <c r="C30" s="25" t="s">
        <v>84</v>
      </c>
      <c r="D30" s="36">
        <v>43299</v>
      </c>
      <c r="H30" s="22"/>
      <c r="I30" s="11"/>
      <c r="J30" s="11"/>
      <c r="K30" s="11"/>
      <c r="L30" s="11"/>
      <c r="P30" s="14"/>
    </row>
    <row r="31" spans="1:16" ht="14.4">
      <c r="A31" s="14" t="s">
        <v>85</v>
      </c>
      <c r="B31" s="17">
        <v>1161175618</v>
      </c>
      <c r="C31" s="10" t="s">
        <v>86</v>
      </c>
      <c r="D31" s="21"/>
      <c r="E31" s="14"/>
      <c r="F31" s="14"/>
      <c r="G31" s="6"/>
      <c r="H31" s="30" t="s">
        <v>71</v>
      </c>
      <c r="I31" s="10"/>
      <c r="J31" s="11"/>
      <c r="K31" s="11"/>
      <c r="L31" s="11"/>
      <c r="P31" s="14"/>
    </row>
    <row r="32" spans="1:16" ht="14.4">
      <c r="A32" s="6" t="s">
        <v>87</v>
      </c>
      <c r="B32" s="26" t="s">
        <v>88</v>
      </c>
      <c r="C32" s="25" t="s">
        <v>89</v>
      </c>
      <c r="D32" s="21" t="s">
        <v>90</v>
      </c>
      <c r="E32" s="14"/>
      <c r="F32" s="14"/>
      <c r="G32" s="6"/>
      <c r="H32" s="9" t="s">
        <v>54</v>
      </c>
      <c r="I32" s="23" t="s">
        <v>55</v>
      </c>
      <c r="J32" s="10" t="s">
        <v>56</v>
      </c>
      <c r="K32" s="10" t="s">
        <v>91</v>
      </c>
      <c r="L32" s="10"/>
      <c r="P32" s="14"/>
    </row>
    <row r="33" spans="1:17" ht="14.4">
      <c r="A33" s="6" t="s">
        <v>92</v>
      </c>
      <c r="B33" s="8">
        <v>1169495127</v>
      </c>
      <c r="C33" s="6" t="s">
        <v>93</v>
      </c>
      <c r="H33" s="9" t="s">
        <v>94</v>
      </c>
      <c r="I33" s="11"/>
      <c r="J33" s="11"/>
      <c r="K33" s="11"/>
      <c r="L33" s="11"/>
    </row>
    <row r="34" spans="1:17" ht="14.4">
      <c r="A34" s="6" t="s">
        <v>92</v>
      </c>
      <c r="B34" s="7"/>
      <c r="C34" s="6"/>
      <c r="H34" s="9" t="s">
        <v>94</v>
      </c>
      <c r="I34" s="11"/>
      <c r="J34" s="11"/>
      <c r="K34" s="11"/>
      <c r="L34" s="11"/>
    </row>
    <row r="35" spans="1:17" ht="14.4">
      <c r="A35" s="37" t="s">
        <v>95</v>
      </c>
      <c r="B35" s="38">
        <v>1561786042</v>
      </c>
      <c r="C35" s="26" t="s">
        <v>96</v>
      </c>
      <c r="D35" s="34"/>
      <c r="E35" s="39">
        <v>43149</v>
      </c>
      <c r="H35" s="22"/>
      <c r="I35" s="11"/>
      <c r="J35" s="11"/>
      <c r="K35" s="11"/>
      <c r="L35" s="11"/>
      <c r="P35" s="14"/>
    </row>
    <row r="36" spans="1:17" ht="14.4">
      <c r="A36" s="14" t="s">
        <v>97</v>
      </c>
      <c r="B36" s="14"/>
      <c r="C36" s="19" t="str">
        <f>HYPERLINK("mailto:gugaa.2@hotmail.com","gugaa.2@hotmail.com")</f>
        <v>gugaa.2@hotmail.com</v>
      </c>
      <c r="D36" s="21"/>
      <c r="E36" s="15">
        <v>41306</v>
      </c>
      <c r="F36" s="14"/>
      <c r="G36" s="14"/>
      <c r="H36" s="10"/>
      <c r="I36" s="10"/>
      <c r="J36" s="10"/>
      <c r="K36" s="10"/>
      <c r="L36" s="10"/>
      <c r="M36" s="14"/>
      <c r="N36" s="14"/>
      <c r="O36" s="14"/>
      <c r="P36" s="14"/>
    </row>
    <row r="37" spans="1:17" ht="14.4">
      <c r="A37" s="6" t="s">
        <v>98</v>
      </c>
      <c r="B37" s="8">
        <v>92214950413</v>
      </c>
      <c r="C37" s="6" t="s">
        <v>99</v>
      </c>
      <c r="D37" s="14" t="s">
        <v>100</v>
      </c>
      <c r="H37" s="40">
        <v>45252</v>
      </c>
      <c r="I37" s="11" t="s">
        <v>101</v>
      </c>
      <c r="J37" s="11"/>
      <c r="K37" s="11"/>
      <c r="L37" s="11"/>
    </row>
    <row r="38" spans="1:17" ht="14.4">
      <c r="A38" s="6" t="s">
        <v>102</v>
      </c>
      <c r="B38" s="6"/>
      <c r="C38" s="8" t="s">
        <v>104</v>
      </c>
      <c r="J38" s="11"/>
      <c r="K38" s="11"/>
      <c r="L38" s="11"/>
    </row>
    <row r="39" spans="1:17" ht="14.4">
      <c r="A39" s="6" t="s">
        <v>102</v>
      </c>
      <c r="B39" s="7"/>
      <c r="C39" s="7"/>
      <c r="H39" s="9"/>
      <c r="I39" s="11"/>
      <c r="J39" s="11"/>
      <c r="K39" s="11"/>
      <c r="L39" s="11"/>
      <c r="Q39" s="16">
        <v>45833</v>
      </c>
    </row>
    <row r="40" spans="1:17" ht="14.4">
      <c r="A40" s="6" t="s">
        <v>105</v>
      </c>
      <c r="B40" s="7"/>
      <c r="C40" s="6"/>
      <c r="H40" s="9"/>
      <c r="I40" s="11"/>
      <c r="J40" s="11"/>
      <c r="K40" s="11"/>
      <c r="L40" s="11"/>
      <c r="Q40" s="16">
        <v>45985</v>
      </c>
    </row>
    <row r="41" spans="1:17" ht="14.4">
      <c r="A41" s="6" t="s">
        <v>105</v>
      </c>
      <c r="B41" s="7"/>
      <c r="C41" s="6"/>
      <c r="H41" s="9" t="s">
        <v>51</v>
      </c>
      <c r="I41" s="11"/>
      <c r="J41" s="11"/>
      <c r="K41" s="11"/>
      <c r="L41" s="11"/>
    </row>
    <row r="42" spans="1:17" ht="14.4">
      <c r="A42" s="6" t="s">
        <v>105</v>
      </c>
      <c r="B42" s="7"/>
      <c r="C42" s="6"/>
      <c r="H42" s="9"/>
      <c r="I42" s="41">
        <v>45954</v>
      </c>
      <c r="J42" s="11"/>
      <c r="K42" s="11"/>
      <c r="L42" s="11"/>
    </row>
    <row r="43" spans="1:17" ht="14.4">
      <c r="A43" s="6" t="s">
        <v>105</v>
      </c>
      <c r="B43" s="7"/>
      <c r="C43" s="6"/>
      <c r="H43" s="9"/>
      <c r="I43" s="11"/>
      <c r="J43" s="41">
        <v>45985</v>
      </c>
      <c r="K43" s="11"/>
      <c r="L43" s="11"/>
    </row>
    <row r="44" spans="1:17" ht="14.4">
      <c r="A44" s="6" t="s">
        <v>106</v>
      </c>
      <c r="B44" s="7"/>
      <c r="C44" s="7"/>
      <c r="H44" s="9" t="s">
        <v>65</v>
      </c>
      <c r="I44" s="11"/>
      <c r="J44" s="11"/>
      <c r="K44" s="11"/>
      <c r="L44" s="11"/>
    </row>
    <row r="45" spans="1:17" ht="14.4">
      <c r="A45" s="6" t="s">
        <v>106</v>
      </c>
      <c r="B45" s="7"/>
      <c r="C45" s="7"/>
      <c r="H45" s="9"/>
      <c r="I45" s="11" t="s">
        <v>22</v>
      </c>
      <c r="J45" s="11"/>
      <c r="K45" s="11"/>
      <c r="L45" s="11"/>
    </row>
    <row r="46" spans="1:17" ht="14.4">
      <c r="A46" s="6" t="s">
        <v>107</v>
      </c>
      <c r="B46" s="7"/>
      <c r="C46" s="6" t="s">
        <v>108</v>
      </c>
      <c r="H46" s="22"/>
      <c r="I46" s="9" t="s">
        <v>109</v>
      </c>
      <c r="J46" s="11"/>
      <c r="K46" s="11" t="s">
        <v>110</v>
      </c>
      <c r="L46" s="10" t="s">
        <v>35</v>
      </c>
      <c r="P46" s="26" t="s">
        <v>75</v>
      </c>
    </row>
    <row r="47" spans="1:17" ht="14.4">
      <c r="A47" s="6" t="s">
        <v>111</v>
      </c>
      <c r="B47" s="7"/>
      <c r="C47" s="6" t="s">
        <v>112</v>
      </c>
      <c r="H47" s="42">
        <v>45222</v>
      </c>
      <c r="I47" s="41">
        <v>45253</v>
      </c>
      <c r="J47" s="11"/>
      <c r="K47" s="11"/>
      <c r="L47" s="11"/>
    </row>
    <row r="48" spans="1:17" ht="14.4">
      <c r="A48" s="14" t="s">
        <v>113</v>
      </c>
      <c r="B48" s="13" t="s">
        <v>114</v>
      </c>
      <c r="C48" s="19" t="str">
        <f>HYPERLINK("mailto:aldana@denega.com.ar","aldana@denega.com.ar")</f>
        <v>aldana@denega.com.ar</v>
      </c>
      <c r="D48" s="15">
        <v>41000</v>
      </c>
      <c r="E48" s="14"/>
      <c r="F48" s="14"/>
      <c r="G48" s="14"/>
      <c r="H48" s="10"/>
      <c r="I48" s="10"/>
      <c r="J48" s="10"/>
      <c r="K48" s="10"/>
      <c r="L48" s="10"/>
      <c r="M48" s="14"/>
      <c r="N48" s="14"/>
      <c r="O48" s="14"/>
      <c r="P48" s="14"/>
    </row>
    <row r="49" spans="1:17" ht="14.4">
      <c r="A49" s="14" t="s">
        <v>115</v>
      </c>
      <c r="B49" s="14" t="s">
        <v>116</v>
      </c>
      <c r="C49" s="14" t="s">
        <v>117</v>
      </c>
      <c r="D49" s="15">
        <v>41030</v>
      </c>
      <c r="E49" s="14"/>
      <c r="F49" s="14"/>
      <c r="G49" s="14"/>
      <c r="H49" s="10"/>
      <c r="I49" s="10"/>
      <c r="J49" s="10"/>
      <c r="K49" s="10"/>
      <c r="L49" s="10"/>
      <c r="M49" s="14"/>
      <c r="N49" s="14"/>
      <c r="O49" s="14"/>
      <c r="P49" s="14"/>
    </row>
    <row r="50" spans="1:17" ht="14.4">
      <c r="A50" s="6" t="s">
        <v>118</v>
      </c>
      <c r="B50" s="7"/>
      <c r="C50" s="6"/>
      <c r="H50" s="9"/>
      <c r="I50" s="11"/>
      <c r="J50" s="11"/>
      <c r="K50" s="11"/>
      <c r="L50" s="10"/>
      <c r="Q50" s="16">
        <v>45985</v>
      </c>
    </row>
    <row r="51" spans="1:17" ht="14.4">
      <c r="A51" s="6" t="s">
        <v>119</v>
      </c>
      <c r="B51" s="7"/>
      <c r="C51" s="7"/>
      <c r="H51" s="9" t="s">
        <v>23</v>
      </c>
      <c r="I51" s="11"/>
      <c r="J51" s="11"/>
      <c r="K51" s="11"/>
      <c r="L51" s="11"/>
    </row>
    <row r="52" spans="1:17" ht="14.4">
      <c r="A52" s="9" t="s">
        <v>119</v>
      </c>
      <c r="B52" s="7"/>
      <c r="C52" s="7"/>
      <c r="H52" s="9"/>
      <c r="I52" s="11" t="s">
        <v>24</v>
      </c>
      <c r="J52" s="11"/>
      <c r="K52" s="11"/>
      <c r="L52" s="11"/>
    </row>
    <row r="53" spans="1:17" ht="14.4">
      <c r="A53" s="14" t="s">
        <v>120</v>
      </c>
      <c r="B53" s="13">
        <v>1557492620</v>
      </c>
      <c r="C53" s="14" t="s">
        <v>121</v>
      </c>
      <c r="D53" s="15">
        <v>41214</v>
      </c>
      <c r="E53" s="14"/>
      <c r="F53" s="14"/>
      <c r="G53" s="14"/>
      <c r="H53" s="10"/>
      <c r="I53" s="10"/>
      <c r="J53" s="10"/>
      <c r="K53" s="10"/>
      <c r="L53" s="10"/>
      <c r="M53" s="14"/>
      <c r="N53" s="14"/>
      <c r="O53" s="14"/>
      <c r="P53" s="14"/>
    </row>
    <row r="54" spans="1:17" ht="14.4">
      <c r="A54" s="9" t="s">
        <v>122</v>
      </c>
      <c r="B54" s="7"/>
      <c r="C54" s="7"/>
      <c r="H54" s="9" t="s">
        <v>94</v>
      </c>
      <c r="I54" s="10" t="s">
        <v>123</v>
      </c>
      <c r="J54" s="11" t="s">
        <v>124</v>
      </c>
      <c r="K54" s="11"/>
      <c r="L54" s="11"/>
    </row>
    <row r="55" spans="1:17" ht="14.4">
      <c r="A55" s="9" t="s">
        <v>122</v>
      </c>
      <c r="B55" s="7"/>
      <c r="C55" s="6"/>
      <c r="H55" s="9" t="s">
        <v>94</v>
      </c>
      <c r="I55" s="11"/>
      <c r="J55" s="11"/>
      <c r="K55" s="11"/>
      <c r="L55" s="11"/>
    </row>
    <row r="56" spans="1:17" ht="14.4">
      <c r="A56" s="6" t="s">
        <v>125</v>
      </c>
      <c r="B56" s="7"/>
      <c r="C56" s="6" t="s">
        <v>126</v>
      </c>
      <c r="H56" s="9"/>
      <c r="I56" s="11"/>
      <c r="J56" s="11"/>
      <c r="K56" s="11"/>
      <c r="L56" s="11" t="s">
        <v>75</v>
      </c>
    </row>
    <row r="57" spans="1:17" ht="14.4">
      <c r="A57" s="14" t="s">
        <v>127</v>
      </c>
      <c r="B57" s="14" t="s">
        <v>128</v>
      </c>
      <c r="C57" s="19" t="str">
        <f>HYPERLINK("mailto:alebo21@hotmail.com","alebo21@hotmail.com")</f>
        <v>alebo21@hotmail.com</v>
      </c>
      <c r="D57" s="15">
        <v>42186</v>
      </c>
      <c r="E57" s="14"/>
      <c r="F57" s="14"/>
      <c r="G57" s="14"/>
      <c r="H57" s="10"/>
      <c r="I57" s="10"/>
      <c r="J57" s="10"/>
      <c r="K57" s="10"/>
      <c r="L57" s="10"/>
      <c r="M57" s="14"/>
      <c r="N57" s="14"/>
      <c r="O57" s="14"/>
      <c r="P57" s="14"/>
    </row>
    <row r="58" spans="1:17" ht="14.4">
      <c r="A58" s="6" t="s">
        <v>129</v>
      </c>
      <c r="B58" s="7"/>
      <c r="C58" s="7"/>
      <c r="H58" s="9" t="s">
        <v>65</v>
      </c>
      <c r="I58" s="11"/>
      <c r="J58" s="11"/>
      <c r="K58" s="11"/>
      <c r="L58" s="11"/>
    </row>
    <row r="59" spans="1:17" ht="14.4">
      <c r="A59" s="6" t="s">
        <v>129</v>
      </c>
      <c r="B59" s="7"/>
      <c r="C59" s="7"/>
      <c r="H59" s="9"/>
      <c r="I59" s="11" t="s">
        <v>22</v>
      </c>
      <c r="J59" s="11"/>
      <c r="K59" s="11"/>
      <c r="L59" s="11"/>
    </row>
    <row r="60" spans="1:17" ht="14.4">
      <c r="A60" s="6" t="s">
        <v>130</v>
      </c>
      <c r="B60" s="17">
        <v>1136799597</v>
      </c>
      <c r="C60" s="17" t="s">
        <v>131</v>
      </c>
      <c r="D60" s="14"/>
      <c r="E60" s="21" t="s">
        <v>132</v>
      </c>
      <c r="F60" s="14"/>
      <c r="G60" s="6"/>
      <c r="H60" s="9" t="s">
        <v>54</v>
      </c>
      <c r="I60" s="23" t="s">
        <v>55</v>
      </c>
      <c r="J60" s="10"/>
      <c r="K60" s="10"/>
      <c r="L60" s="10"/>
      <c r="P60" s="14"/>
    </row>
    <row r="61" spans="1:17" ht="14.4">
      <c r="A61" s="14" t="s">
        <v>133</v>
      </c>
      <c r="B61" s="13">
        <v>1560238565</v>
      </c>
      <c r="C61" s="14" t="s">
        <v>134</v>
      </c>
      <c r="D61" s="14"/>
      <c r="E61" s="14"/>
      <c r="F61" s="21" t="s">
        <v>135</v>
      </c>
      <c r="G61" s="14"/>
      <c r="H61" s="20">
        <v>41791</v>
      </c>
      <c r="I61" s="10"/>
      <c r="J61" s="10"/>
      <c r="K61" s="10"/>
      <c r="L61" s="10"/>
      <c r="M61" s="15">
        <v>42125</v>
      </c>
      <c r="N61" s="14"/>
      <c r="O61" s="14"/>
      <c r="P61" s="14"/>
    </row>
    <row r="62" spans="1:17" ht="14.4">
      <c r="A62" s="6" t="s">
        <v>136</v>
      </c>
      <c r="B62" s="7"/>
      <c r="C62" s="6" t="s">
        <v>137</v>
      </c>
      <c r="H62" s="9" t="s">
        <v>67</v>
      </c>
      <c r="I62" s="11"/>
      <c r="J62" s="11"/>
      <c r="K62" s="11"/>
      <c r="L62" s="11"/>
    </row>
    <row r="63" spans="1:17" ht="14.4">
      <c r="A63" s="14" t="s">
        <v>138</v>
      </c>
      <c r="B63" s="14" t="s">
        <v>139</v>
      </c>
      <c r="C63" s="19" t="str">
        <f>HYPERLINK("mailto:malelopez@me.com","malelopez@me.com")</f>
        <v>malelopez@me.com</v>
      </c>
      <c r="D63" s="15">
        <v>41214</v>
      </c>
      <c r="E63" s="14"/>
      <c r="F63" s="14"/>
      <c r="G63" s="14"/>
      <c r="H63" s="10"/>
      <c r="I63" s="10"/>
      <c r="J63" s="10"/>
      <c r="K63" s="10"/>
      <c r="L63" s="10"/>
      <c r="M63" s="14"/>
      <c r="N63" s="14"/>
      <c r="O63" s="14"/>
      <c r="P63" s="14"/>
    </row>
    <row r="64" spans="1:17" ht="14.4">
      <c r="A64" s="14" t="s">
        <v>140</v>
      </c>
      <c r="B64" s="14"/>
      <c r="C64" s="19" t="str">
        <f>HYPERLINK("mailto:alondarts@hotmail.com","alondarts@hotmail.com")</f>
        <v>alondarts@hotmail.com</v>
      </c>
      <c r="D64" s="14"/>
      <c r="E64" s="15">
        <v>41456</v>
      </c>
      <c r="F64" s="14"/>
      <c r="G64" s="14"/>
      <c r="H64" s="10"/>
      <c r="I64" s="10"/>
      <c r="J64" s="10"/>
      <c r="K64" s="10"/>
      <c r="L64" s="10"/>
      <c r="M64" s="14"/>
      <c r="N64" s="14"/>
      <c r="O64" s="14"/>
      <c r="P64" s="14"/>
    </row>
    <row r="65" spans="1:17" ht="14.4">
      <c r="A65" s="6" t="s">
        <v>141</v>
      </c>
      <c r="B65" s="8">
        <v>92974397769</v>
      </c>
      <c r="C65" s="6" t="s">
        <v>142</v>
      </c>
      <c r="H65" s="43" t="s">
        <v>143</v>
      </c>
      <c r="I65" s="11"/>
      <c r="J65" s="11"/>
      <c r="K65" s="11"/>
      <c r="L65" s="11"/>
    </row>
    <row r="66" spans="1:17" ht="14.4">
      <c r="A66" s="6" t="s">
        <v>144</v>
      </c>
      <c r="B66" s="8">
        <v>3874856691</v>
      </c>
      <c r="C66" s="6" t="s">
        <v>145</v>
      </c>
      <c r="H66" s="9" t="s">
        <v>123</v>
      </c>
      <c r="I66" s="10"/>
      <c r="J66" s="11"/>
      <c r="K66" s="11"/>
      <c r="L66" s="11"/>
    </row>
    <row r="67" spans="1:17" ht="14.4">
      <c r="A67" s="14" t="s">
        <v>146</v>
      </c>
      <c r="B67" s="13">
        <v>1555237137</v>
      </c>
      <c r="C67" s="14" t="s">
        <v>147</v>
      </c>
      <c r="D67" s="15">
        <v>41214</v>
      </c>
      <c r="E67" s="14"/>
      <c r="F67" s="14"/>
      <c r="G67" s="14"/>
      <c r="H67" s="10"/>
      <c r="I67" s="10"/>
      <c r="J67" s="10"/>
      <c r="K67" s="10"/>
      <c r="L67" s="10"/>
      <c r="M67" s="14"/>
      <c r="N67" s="14"/>
      <c r="O67" s="14"/>
      <c r="P67" s="14"/>
    </row>
    <row r="68" spans="1:17" ht="14.4">
      <c r="A68" s="14" t="s">
        <v>148</v>
      </c>
      <c r="B68" s="27">
        <v>1544946462</v>
      </c>
      <c r="C68" s="10" t="s">
        <v>149</v>
      </c>
      <c r="D68" s="14"/>
      <c r="E68" s="14"/>
      <c r="F68" s="14"/>
      <c r="G68" s="6"/>
      <c r="H68" s="30" t="s">
        <v>71</v>
      </c>
      <c r="I68" s="10"/>
      <c r="J68" s="11"/>
      <c r="K68" s="11"/>
      <c r="L68" s="11"/>
      <c r="P68" s="14"/>
    </row>
    <row r="69" spans="1:17" ht="14.4">
      <c r="A69" s="14" t="s">
        <v>150</v>
      </c>
      <c r="B69" s="14" t="s">
        <v>151</v>
      </c>
      <c r="C69" s="19" t="str">
        <f>HYPERLINK("mailto:ebkurck@yahoo.com","ebkurck@yahoo.com")</f>
        <v>ebkurck@yahoo.com</v>
      </c>
      <c r="D69" s="15">
        <v>42095</v>
      </c>
      <c r="E69" s="15">
        <v>41518</v>
      </c>
      <c r="F69" s="15">
        <v>42156</v>
      </c>
      <c r="G69" s="14"/>
      <c r="H69" s="10"/>
      <c r="I69" s="10"/>
      <c r="J69" s="10"/>
      <c r="K69" s="10"/>
      <c r="L69" s="10"/>
      <c r="M69" s="14"/>
      <c r="N69" s="14"/>
      <c r="O69" s="14"/>
      <c r="P69" s="14"/>
    </row>
    <row r="70" spans="1:17" ht="14.4">
      <c r="A70" s="14" t="s">
        <v>152</v>
      </c>
      <c r="B70" s="14" t="s">
        <v>153</v>
      </c>
      <c r="C70" s="19" t="str">
        <f>HYPERLINK("mailto:villersma@gmail.com","villersma@gmail.com")</f>
        <v>villersma@gmail.com</v>
      </c>
      <c r="D70" s="15">
        <v>40603</v>
      </c>
      <c r="E70" s="14"/>
      <c r="F70" s="15">
        <v>40756</v>
      </c>
      <c r="G70" s="14"/>
      <c r="H70" s="10"/>
      <c r="I70" s="10"/>
      <c r="J70" s="10"/>
      <c r="K70" s="10"/>
      <c r="L70" s="10"/>
      <c r="M70" s="15">
        <v>42064</v>
      </c>
      <c r="N70" s="14"/>
      <c r="O70" s="14"/>
      <c r="P70" s="14"/>
    </row>
    <row r="71" spans="1:17" ht="14.4">
      <c r="A71" s="6" t="s">
        <v>154</v>
      </c>
      <c r="B71" s="7"/>
      <c r="C71" s="6" t="s">
        <v>155</v>
      </c>
      <c r="H71" s="6" t="s">
        <v>34</v>
      </c>
      <c r="I71" s="11"/>
      <c r="J71" s="11"/>
      <c r="K71" s="11"/>
      <c r="L71" s="11"/>
    </row>
    <row r="72" spans="1:17" ht="14.4">
      <c r="A72" s="44" t="s">
        <v>156</v>
      </c>
      <c r="B72" s="44"/>
      <c r="C72" s="19" t="str">
        <f>HYPERLINK("mailto:alebusfri@yahoo.com.ar","alebusfri@yahoo.com.ar")</f>
        <v>alebusfri@yahoo.com.ar</v>
      </c>
      <c r="D72" s="14"/>
      <c r="E72" s="14"/>
      <c r="F72" s="14"/>
      <c r="G72" s="14"/>
      <c r="H72" s="10"/>
      <c r="I72" s="10"/>
      <c r="J72" s="10"/>
      <c r="K72" s="10"/>
      <c r="L72" s="10"/>
      <c r="M72" s="15">
        <v>42309</v>
      </c>
      <c r="N72" s="14"/>
      <c r="O72" s="14"/>
      <c r="P72" s="14"/>
    </row>
    <row r="73" spans="1:17" ht="14.4">
      <c r="A73" s="6" t="s">
        <v>157</v>
      </c>
      <c r="B73" s="7"/>
      <c r="C73" s="6" t="s">
        <v>158</v>
      </c>
      <c r="H73" s="9" t="s">
        <v>159</v>
      </c>
      <c r="I73" s="11"/>
      <c r="J73" s="11"/>
      <c r="K73" s="11"/>
      <c r="L73" s="11"/>
    </row>
    <row r="74" spans="1:17" ht="14.4">
      <c r="A74" s="6" t="s">
        <v>160</v>
      </c>
      <c r="B74" s="7"/>
      <c r="C74" s="6"/>
      <c r="H74" s="9"/>
      <c r="I74" s="11"/>
      <c r="J74" s="11"/>
      <c r="K74" s="11"/>
      <c r="L74" s="11"/>
      <c r="Q74" s="16">
        <v>45985</v>
      </c>
    </row>
    <row r="75" spans="1:17" ht="14.4">
      <c r="A75" s="6" t="s">
        <v>161</v>
      </c>
      <c r="B75" s="7"/>
      <c r="C75" s="6" t="s">
        <v>162</v>
      </c>
      <c r="H75" s="9" t="s">
        <v>67</v>
      </c>
      <c r="I75" s="10" t="s">
        <v>68</v>
      </c>
      <c r="J75" s="10" t="s">
        <v>163</v>
      </c>
      <c r="K75" s="11"/>
      <c r="L75" s="11"/>
    </row>
    <row r="76" spans="1:17" ht="14.4">
      <c r="A76" s="6" t="s">
        <v>164</v>
      </c>
      <c r="B76" s="8">
        <v>1134248710</v>
      </c>
      <c r="C76" s="6" t="s">
        <v>165</v>
      </c>
      <c r="H76" s="9" t="s">
        <v>94</v>
      </c>
      <c r="I76" s="10" t="s">
        <v>123</v>
      </c>
      <c r="J76" s="11" t="s">
        <v>124</v>
      </c>
      <c r="K76" s="11"/>
      <c r="L76" s="11"/>
    </row>
    <row r="77" spans="1:17" ht="14.4">
      <c r="A77" s="6" t="s">
        <v>164</v>
      </c>
      <c r="B77" s="7"/>
      <c r="C77" s="6"/>
      <c r="H77" s="9" t="s">
        <v>94</v>
      </c>
      <c r="I77" s="11"/>
      <c r="J77" s="11"/>
      <c r="K77" s="11"/>
      <c r="L77" s="11"/>
    </row>
    <row r="78" spans="1:17" ht="14.4">
      <c r="A78" s="44" t="s">
        <v>166</v>
      </c>
      <c r="B78" s="44" t="s">
        <v>167</v>
      </c>
      <c r="C78" s="19" t="str">
        <f>HYPERLINK("mailto:muyfacil@gmail.com","muyfacil@gmail.com")</f>
        <v>muyfacil@gmail.com</v>
      </c>
      <c r="D78" s="14"/>
      <c r="E78" s="14"/>
      <c r="F78" s="14"/>
      <c r="G78" s="14"/>
      <c r="H78" s="10"/>
      <c r="I78" s="10"/>
      <c r="J78" s="10"/>
      <c r="K78" s="10"/>
      <c r="L78" s="10"/>
      <c r="M78" s="15">
        <v>42309</v>
      </c>
      <c r="N78" s="14"/>
      <c r="O78" s="14"/>
      <c r="P78" s="14"/>
    </row>
    <row r="79" spans="1:17" ht="14.4">
      <c r="A79" s="45" t="s">
        <v>168</v>
      </c>
      <c r="B79" s="45">
        <v>1540682278</v>
      </c>
      <c r="C79" s="46" t="str">
        <f>HYPERLINK("mailto:aleincar@hotmail.com","aleincar@hotmail.com")</f>
        <v>aleincar@hotmail.com</v>
      </c>
      <c r="D79" s="14"/>
      <c r="E79" s="15">
        <v>41913</v>
      </c>
      <c r="F79" s="14"/>
      <c r="G79" s="14"/>
      <c r="H79" s="10"/>
      <c r="I79" s="10"/>
      <c r="J79" s="10"/>
      <c r="K79" s="10"/>
      <c r="L79" s="10"/>
      <c r="M79" s="14"/>
      <c r="N79" s="14"/>
      <c r="O79" s="14"/>
      <c r="P79" s="14"/>
    </row>
    <row r="80" spans="1:17" ht="14.4">
      <c r="A80" s="13" t="s">
        <v>169</v>
      </c>
      <c r="B80" s="13">
        <v>1530050483</v>
      </c>
      <c r="C80" s="46" t="str">
        <f>HYPERLINK("mailto:amori@bcra.gob.ar","amori@bcra.gob.ar")</f>
        <v>amori@bcra.gob.ar</v>
      </c>
      <c r="D80" s="15">
        <v>41518</v>
      </c>
      <c r="E80" s="14"/>
      <c r="F80" s="14"/>
      <c r="G80" s="14"/>
      <c r="H80" s="10"/>
      <c r="I80" s="10"/>
      <c r="J80" s="10"/>
      <c r="K80" s="10"/>
      <c r="L80" s="10"/>
      <c r="M80" s="14"/>
      <c r="N80" s="14"/>
      <c r="O80" s="14"/>
      <c r="P80" s="14"/>
    </row>
    <row r="81" spans="1:17" ht="14.4">
      <c r="A81" s="13" t="s">
        <v>170</v>
      </c>
      <c r="B81" s="13" t="s">
        <v>171</v>
      </c>
      <c r="C81" s="13" t="s">
        <v>172</v>
      </c>
      <c r="D81" s="15">
        <v>41852</v>
      </c>
      <c r="E81" s="14"/>
      <c r="F81" s="14"/>
      <c r="G81" s="14"/>
      <c r="H81" s="10"/>
      <c r="I81" s="10"/>
      <c r="J81" s="10"/>
      <c r="K81" s="10"/>
      <c r="L81" s="10"/>
      <c r="M81" s="14"/>
      <c r="N81" s="14"/>
      <c r="O81" s="14"/>
      <c r="P81" s="14"/>
    </row>
    <row r="82" spans="1:17" ht="14.4">
      <c r="A82" s="6" t="s">
        <v>173</v>
      </c>
      <c r="B82" s="7"/>
      <c r="C82" s="7"/>
      <c r="H82" s="9" t="s">
        <v>23</v>
      </c>
      <c r="I82" s="11"/>
      <c r="J82" s="11"/>
      <c r="K82" s="11"/>
      <c r="L82" s="11"/>
    </row>
    <row r="83" spans="1:17" ht="14.4">
      <c r="A83" s="14" t="s">
        <v>174</v>
      </c>
      <c r="B83" s="14"/>
      <c r="C83" s="19" t="str">
        <f>HYPERLINK("mailto:agiabbani@gmail.com","agiabbani@gmail.com")</f>
        <v>agiabbani@gmail.com</v>
      </c>
      <c r="D83" s="14"/>
      <c r="E83" s="14"/>
      <c r="F83" s="14"/>
      <c r="G83" s="14"/>
      <c r="H83" s="10"/>
      <c r="I83" s="10"/>
      <c r="J83" s="10"/>
      <c r="K83" s="10"/>
      <c r="L83" s="10"/>
      <c r="M83" s="14"/>
      <c r="N83" s="14"/>
      <c r="O83" s="14"/>
      <c r="P83" s="14"/>
    </row>
    <row r="84" spans="1:17" ht="14.4">
      <c r="A84" s="14" t="s">
        <v>175</v>
      </c>
      <c r="B84" s="13">
        <v>1560511816</v>
      </c>
      <c r="C84" s="17" t="s">
        <v>176</v>
      </c>
      <c r="D84" s="21" t="s">
        <v>177</v>
      </c>
      <c r="E84" s="14"/>
      <c r="F84" s="14"/>
      <c r="G84" s="14"/>
      <c r="H84" s="10"/>
      <c r="I84" s="10"/>
      <c r="J84" s="10"/>
      <c r="K84" s="10"/>
      <c r="L84" s="10"/>
      <c r="M84" s="14"/>
      <c r="N84" s="14"/>
      <c r="O84" s="14"/>
      <c r="P84" s="14"/>
    </row>
    <row r="85" spans="1:17" ht="14.4">
      <c r="A85" s="6" t="s">
        <v>178</v>
      </c>
      <c r="B85" s="7"/>
      <c r="C85" s="6"/>
      <c r="H85" s="9"/>
      <c r="I85" s="11"/>
      <c r="J85" s="11"/>
      <c r="K85" s="11"/>
      <c r="L85" s="11"/>
      <c r="P85" s="7" t="s">
        <v>49</v>
      </c>
    </row>
    <row r="86" spans="1:17" ht="14.4">
      <c r="A86" s="6" t="s">
        <v>179</v>
      </c>
      <c r="B86" s="7"/>
      <c r="C86" s="7"/>
      <c r="H86" s="9" t="s">
        <v>94</v>
      </c>
      <c r="I86" s="11"/>
      <c r="J86" s="11"/>
      <c r="K86" s="11"/>
      <c r="L86" s="11"/>
    </row>
    <row r="87" spans="1:17" ht="14.4">
      <c r="A87" s="6" t="s">
        <v>179</v>
      </c>
      <c r="B87" s="7"/>
      <c r="C87" s="6"/>
      <c r="H87" s="9" t="s">
        <v>94</v>
      </c>
      <c r="I87" s="11"/>
      <c r="J87" s="11"/>
      <c r="K87" s="11"/>
      <c r="L87" s="11"/>
    </row>
    <row r="88" spans="1:17" ht="14.4">
      <c r="A88" s="14" t="s">
        <v>180</v>
      </c>
      <c r="B88" s="14"/>
      <c r="C88" s="19" t="str">
        <f>HYPERLINK("mailto:alfredogargano@hotmail.com","alfredogargano@hotmail.com")</f>
        <v>alfredogargano@hotmail.com</v>
      </c>
      <c r="D88" s="14"/>
      <c r="E88" s="15">
        <v>41306</v>
      </c>
      <c r="F88" s="14"/>
      <c r="G88" s="14"/>
      <c r="H88" s="10"/>
      <c r="I88" s="10"/>
      <c r="J88" s="10"/>
      <c r="K88" s="10"/>
      <c r="L88" s="10"/>
      <c r="M88" s="14"/>
      <c r="N88" s="14"/>
      <c r="O88" s="14"/>
      <c r="P88" s="14"/>
    </row>
    <row r="89" spans="1:17" ht="14.4">
      <c r="A89" s="14" t="s">
        <v>181</v>
      </c>
      <c r="B89" s="14"/>
      <c r="C89" s="19" t="str">
        <f>HYPERLINK("mailto:alfredosuaya@gmail.com","alfredosuaya@gmail.com")</f>
        <v>alfredosuaya@gmail.com</v>
      </c>
      <c r="D89" s="14"/>
      <c r="E89" s="15">
        <v>41365</v>
      </c>
      <c r="F89" s="14"/>
      <c r="G89" s="14"/>
      <c r="H89" s="23" t="s">
        <v>132</v>
      </c>
      <c r="I89" s="10"/>
      <c r="J89" s="10"/>
      <c r="K89" s="10"/>
      <c r="L89" s="10"/>
      <c r="M89" s="14"/>
      <c r="N89" s="14"/>
      <c r="O89" s="14"/>
      <c r="P89" s="14"/>
    </row>
    <row r="90" spans="1:17" ht="14.4">
      <c r="A90" s="6" t="s">
        <v>182</v>
      </c>
      <c r="B90" s="8">
        <v>1161965765</v>
      </c>
      <c r="C90" s="6" t="s">
        <v>183</v>
      </c>
      <c r="H90" s="22"/>
      <c r="I90" s="11"/>
      <c r="J90" s="11"/>
      <c r="K90" s="10" t="s">
        <v>74</v>
      </c>
      <c r="L90" s="11"/>
    </row>
    <row r="91" spans="1:17" ht="14.4">
      <c r="A91" s="14" t="s">
        <v>184</v>
      </c>
      <c r="B91" s="47" t="s">
        <v>185</v>
      </c>
      <c r="C91" s="19" t="str">
        <f>HYPERLINK("mailto:alicia.hendler@gmail.com","alicia.hendler@gmail.com")</f>
        <v>alicia.hendler@gmail.com</v>
      </c>
      <c r="D91" s="14"/>
      <c r="E91" s="15">
        <v>41275</v>
      </c>
      <c r="F91" s="14"/>
      <c r="G91" s="14"/>
      <c r="H91" s="10"/>
      <c r="I91" s="10"/>
      <c r="J91" s="10"/>
      <c r="K91" s="10"/>
      <c r="L91" s="10"/>
      <c r="M91" s="14"/>
      <c r="N91" s="14"/>
      <c r="O91" s="14"/>
      <c r="P91" s="14"/>
    </row>
    <row r="92" spans="1:17" ht="14.4">
      <c r="A92" s="14" t="s">
        <v>186</v>
      </c>
      <c r="B92" s="14" t="s">
        <v>187</v>
      </c>
      <c r="C92" s="14" t="s">
        <v>188</v>
      </c>
      <c r="D92" s="15">
        <v>42064</v>
      </c>
      <c r="E92" s="14"/>
      <c r="F92" s="14"/>
      <c r="G92" s="14"/>
      <c r="H92" s="10"/>
      <c r="I92" s="10"/>
      <c r="J92" s="10"/>
      <c r="K92" s="10"/>
      <c r="L92" s="10"/>
      <c r="M92" s="14"/>
      <c r="N92" s="14"/>
      <c r="O92" s="14"/>
      <c r="P92" s="14"/>
    </row>
    <row r="93" spans="1:17" ht="14.4">
      <c r="A93" s="10" t="s">
        <v>189</v>
      </c>
      <c r="B93" s="48">
        <v>1545584177</v>
      </c>
      <c r="C93" s="17" t="s">
        <v>190</v>
      </c>
      <c r="D93" s="15">
        <v>42856</v>
      </c>
      <c r="E93" s="14"/>
      <c r="F93" s="14"/>
      <c r="G93" s="14"/>
      <c r="H93" s="10"/>
      <c r="I93" s="10"/>
      <c r="J93" s="10"/>
      <c r="K93" s="10"/>
      <c r="L93" s="10"/>
      <c r="M93" s="14"/>
      <c r="N93" s="14"/>
      <c r="O93" s="14"/>
    </row>
    <row r="94" spans="1:17" ht="14.4">
      <c r="A94" s="6" t="s">
        <v>191</v>
      </c>
      <c r="B94" s="7"/>
      <c r="C94" s="7"/>
      <c r="H94" s="9"/>
      <c r="I94" s="11"/>
      <c r="J94" s="11"/>
      <c r="K94" s="11"/>
      <c r="L94" s="11"/>
      <c r="Q94" s="16">
        <v>45833</v>
      </c>
    </row>
    <row r="95" spans="1:17" ht="14.4">
      <c r="A95" s="6" t="s">
        <v>192</v>
      </c>
      <c r="B95" s="8"/>
      <c r="C95" s="6" t="s">
        <v>193</v>
      </c>
      <c r="H95" s="22"/>
      <c r="I95" s="11"/>
      <c r="J95" s="11"/>
      <c r="K95" s="11"/>
      <c r="L95" s="11"/>
      <c r="P95" s="12" t="s">
        <v>194</v>
      </c>
    </row>
    <row r="96" spans="1:17" ht="14.4">
      <c r="A96" s="6" t="s">
        <v>195</v>
      </c>
      <c r="B96" s="7"/>
      <c r="C96" s="6"/>
      <c r="H96" s="9"/>
      <c r="I96" s="10" t="s">
        <v>31</v>
      </c>
      <c r="J96" s="11"/>
      <c r="K96" s="11"/>
      <c r="L96" s="11"/>
    </row>
    <row r="97" spans="1:16" ht="14.4">
      <c r="A97" s="9" t="s">
        <v>196</v>
      </c>
      <c r="B97" s="8">
        <v>1130650898</v>
      </c>
      <c r="C97" s="6" t="s">
        <v>197</v>
      </c>
      <c r="H97" s="9" t="s">
        <v>94</v>
      </c>
      <c r="I97" s="11"/>
      <c r="J97" s="11"/>
      <c r="K97" s="11"/>
      <c r="L97" s="11"/>
    </row>
    <row r="98" spans="1:16" ht="14.4">
      <c r="A98" s="9" t="s">
        <v>196</v>
      </c>
      <c r="B98" s="7"/>
      <c r="C98" s="6"/>
      <c r="H98" s="9" t="s">
        <v>94</v>
      </c>
      <c r="I98" s="11"/>
      <c r="J98" s="11"/>
      <c r="K98" s="11"/>
      <c r="L98" s="11"/>
    </row>
    <row r="99" spans="1:16" ht="14.4">
      <c r="A99" s="14" t="s">
        <v>198</v>
      </c>
      <c r="B99" s="14" t="s">
        <v>199</v>
      </c>
      <c r="C99" s="14" t="s">
        <v>200</v>
      </c>
      <c r="D99" s="15">
        <v>42095</v>
      </c>
      <c r="E99" s="14"/>
      <c r="F99" s="14"/>
      <c r="G99" s="14"/>
      <c r="H99" s="10"/>
      <c r="I99" s="10"/>
      <c r="J99" s="10"/>
      <c r="K99" s="10"/>
      <c r="L99" s="10"/>
      <c r="M99" s="14"/>
      <c r="N99" s="14"/>
      <c r="O99" s="14"/>
      <c r="P99" s="14"/>
    </row>
    <row r="100" spans="1:16" ht="14.4">
      <c r="A100" s="13" t="s">
        <v>201</v>
      </c>
      <c r="B100" s="13" t="s">
        <v>202</v>
      </c>
      <c r="C100" s="46" t="str">
        <f>HYPERLINK("mailto:wonderami@yahoo.com.ar","wonderami@yahoo.com.ar")</f>
        <v>wonderami@yahoo.com.ar</v>
      </c>
      <c r="D100" s="15">
        <v>41518</v>
      </c>
      <c r="E100" s="14"/>
      <c r="F100" s="15">
        <v>41913</v>
      </c>
      <c r="G100" s="14"/>
      <c r="H100" s="10"/>
      <c r="I100" s="10"/>
      <c r="J100" s="10"/>
      <c r="K100" s="10"/>
      <c r="L100" s="10"/>
      <c r="M100" s="14"/>
      <c r="N100" s="14"/>
      <c r="O100" s="14"/>
      <c r="P100" s="14"/>
    </row>
    <row r="101" spans="1:16" ht="14.4">
      <c r="A101" s="14" t="s">
        <v>203</v>
      </c>
      <c r="B101" s="13">
        <v>1557121738</v>
      </c>
      <c r="C101" s="14" t="s">
        <v>204</v>
      </c>
      <c r="D101" s="14"/>
      <c r="E101" s="49">
        <v>42903</v>
      </c>
      <c r="F101" s="14"/>
      <c r="G101" s="14"/>
      <c r="H101" s="10"/>
      <c r="I101" s="10"/>
      <c r="J101" s="10"/>
      <c r="K101" s="10"/>
      <c r="L101" s="10"/>
      <c r="M101" s="14"/>
      <c r="N101" s="14"/>
      <c r="O101" s="14"/>
      <c r="P101" s="14"/>
    </row>
    <row r="102" spans="1:16" ht="14.4">
      <c r="A102" s="6" t="s">
        <v>205</v>
      </c>
      <c r="B102" s="7"/>
      <c r="C102" s="6" t="s">
        <v>206</v>
      </c>
      <c r="H102" s="17" t="s">
        <v>19</v>
      </c>
      <c r="I102" s="10" t="s">
        <v>20</v>
      </c>
      <c r="J102" s="10" t="s">
        <v>35</v>
      </c>
      <c r="K102" s="10" t="s">
        <v>20</v>
      </c>
      <c r="L102" s="11"/>
    </row>
    <row r="103" spans="1:16" ht="14.4">
      <c r="A103" s="14" t="s">
        <v>207</v>
      </c>
      <c r="B103" s="47" t="s">
        <v>208</v>
      </c>
      <c r="C103" s="19" t="str">
        <f>HYPERLINK("mailto:analauracorsiglia@hotmail.com","analauracorsiglia@hotmail.com")</f>
        <v>analauracorsiglia@hotmail.com</v>
      </c>
      <c r="D103" s="14"/>
      <c r="E103" s="15">
        <v>41275</v>
      </c>
      <c r="F103" s="14"/>
      <c r="G103" s="14"/>
      <c r="H103" s="10"/>
      <c r="I103" s="10"/>
      <c r="J103" s="10"/>
      <c r="K103" s="10"/>
      <c r="L103" s="10"/>
      <c r="M103" s="14"/>
      <c r="N103" s="14"/>
      <c r="O103" s="14"/>
      <c r="P103" s="14"/>
    </row>
    <row r="104" spans="1:16" ht="14.4">
      <c r="A104" s="7" t="s">
        <v>209</v>
      </c>
      <c r="B104" s="37" t="s">
        <v>210</v>
      </c>
      <c r="C104" s="50" t="s">
        <v>211</v>
      </c>
      <c r="H104" s="22"/>
      <c r="I104" s="11"/>
      <c r="J104" s="11"/>
      <c r="K104" s="10" t="s">
        <v>212</v>
      </c>
      <c r="L104" s="10"/>
      <c r="P104" s="14"/>
    </row>
    <row r="105" spans="1:16" ht="14.4">
      <c r="A105" s="14" t="s">
        <v>213</v>
      </c>
      <c r="B105" s="38">
        <v>1150363472</v>
      </c>
      <c r="C105" s="28" t="s">
        <v>214</v>
      </c>
      <c r="H105" s="22"/>
      <c r="I105" s="10" t="s">
        <v>215</v>
      </c>
      <c r="J105" s="10" t="s">
        <v>215</v>
      </c>
      <c r="K105" s="11"/>
      <c r="L105" s="11"/>
    </row>
    <row r="106" spans="1:16" ht="14.4">
      <c r="A106" s="6" t="s">
        <v>216</v>
      </c>
      <c r="B106" s="7"/>
      <c r="C106" s="6" t="s">
        <v>217</v>
      </c>
      <c r="H106" s="42">
        <v>45222</v>
      </c>
      <c r="I106" s="11"/>
      <c r="J106" s="11"/>
      <c r="K106" s="11"/>
      <c r="L106" s="11"/>
    </row>
    <row r="107" spans="1:16" ht="14.4">
      <c r="A107" s="14" t="s">
        <v>218</v>
      </c>
      <c r="B107" s="13">
        <v>2494588433</v>
      </c>
      <c r="C107" s="10" t="s">
        <v>219</v>
      </c>
      <c r="D107" s="14"/>
      <c r="E107" s="14"/>
      <c r="F107" s="14"/>
      <c r="G107" s="6"/>
      <c r="H107" s="30" t="s">
        <v>71</v>
      </c>
      <c r="I107" s="17" t="s">
        <v>72</v>
      </c>
      <c r="J107" s="10" t="s">
        <v>220</v>
      </c>
      <c r="K107" s="11"/>
      <c r="L107" s="11"/>
      <c r="P107" s="14"/>
    </row>
    <row r="108" spans="1:16" ht="14.4">
      <c r="A108" s="6" t="s">
        <v>221</v>
      </c>
      <c r="B108" s="8">
        <v>1169480661</v>
      </c>
      <c r="C108" s="6" t="s">
        <v>222</v>
      </c>
      <c r="H108" s="43" t="s">
        <v>143</v>
      </c>
      <c r="I108" s="11"/>
      <c r="J108" s="11"/>
      <c r="K108" s="11"/>
      <c r="L108" s="11"/>
    </row>
    <row r="109" spans="1:16" ht="14.4">
      <c r="A109" s="6" t="s">
        <v>223</v>
      </c>
      <c r="B109" s="7"/>
      <c r="C109" s="7"/>
      <c r="H109" s="9" t="s">
        <v>23</v>
      </c>
      <c r="I109" s="11"/>
      <c r="J109" s="11"/>
      <c r="K109" s="11"/>
      <c r="L109" s="11"/>
    </row>
    <row r="110" spans="1:16" ht="14.4">
      <c r="A110" s="6" t="s">
        <v>223</v>
      </c>
      <c r="B110" s="7"/>
      <c r="C110" s="7"/>
      <c r="H110" s="9"/>
      <c r="I110" s="11"/>
      <c r="J110" s="11"/>
      <c r="K110" s="11" t="s">
        <v>22</v>
      </c>
      <c r="L110" s="11"/>
    </row>
    <row r="111" spans="1:16" ht="14.4">
      <c r="A111" s="6" t="s">
        <v>224</v>
      </c>
      <c r="B111" s="7"/>
      <c r="C111" s="7"/>
      <c r="H111" s="9"/>
      <c r="I111" s="35">
        <v>45713</v>
      </c>
      <c r="J111" s="11"/>
      <c r="K111" s="11"/>
      <c r="L111" s="11"/>
    </row>
    <row r="112" spans="1:16" ht="14.4">
      <c r="A112" s="13" t="s">
        <v>225</v>
      </c>
      <c r="B112" s="13">
        <v>1560315572</v>
      </c>
      <c r="C112" s="14" t="s">
        <v>226</v>
      </c>
      <c r="D112" s="15">
        <v>42186</v>
      </c>
      <c r="E112" s="14"/>
      <c r="F112" s="14"/>
      <c r="G112" s="14"/>
      <c r="H112" s="10"/>
      <c r="I112" s="10"/>
      <c r="J112" s="10"/>
      <c r="K112" s="10"/>
      <c r="L112" s="10"/>
      <c r="M112" s="14"/>
      <c r="N112" s="14"/>
      <c r="O112" s="14"/>
      <c r="P112" s="14"/>
    </row>
    <row r="113" spans="1:17" ht="14.4">
      <c r="A113" s="14" t="s">
        <v>227</v>
      </c>
      <c r="B113" s="14" t="s">
        <v>228</v>
      </c>
      <c r="C113" s="14" t="s">
        <v>229</v>
      </c>
      <c r="D113" s="14"/>
      <c r="E113" s="14"/>
      <c r="F113" s="15">
        <v>41153</v>
      </c>
      <c r="G113" s="14"/>
      <c r="H113" s="20">
        <v>41395</v>
      </c>
      <c r="I113" s="10"/>
      <c r="J113" s="10"/>
      <c r="K113" s="10"/>
      <c r="L113" s="10"/>
      <c r="M113" s="14"/>
      <c r="N113" s="14"/>
      <c r="O113" s="14"/>
      <c r="P113" s="14"/>
    </row>
    <row r="114" spans="1:17" ht="14.4">
      <c r="A114" s="6" t="s">
        <v>230</v>
      </c>
      <c r="B114" s="7"/>
      <c r="C114" s="7"/>
      <c r="H114" s="9"/>
      <c r="I114" s="11"/>
      <c r="J114" s="11"/>
      <c r="K114" s="11"/>
      <c r="L114" s="11"/>
      <c r="Q114" s="16">
        <v>45833</v>
      </c>
    </row>
    <row r="115" spans="1:17" ht="14.4">
      <c r="A115" s="6" t="s">
        <v>231</v>
      </c>
      <c r="B115" s="8">
        <v>1126290885</v>
      </c>
      <c r="C115" s="6" t="s">
        <v>232</v>
      </c>
      <c r="H115" s="9" t="s">
        <v>123</v>
      </c>
      <c r="I115" s="11"/>
      <c r="J115" s="11"/>
      <c r="K115" s="11"/>
      <c r="L115" s="11"/>
    </row>
    <row r="116" spans="1:17" ht="14.4">
      <c r="A116" s="6" t="s">
        <v>233</v>
      </c>
      <c r="B116" s="52">
        <v>1139383186</v>
      </c>
      <c r="C116" s="6" t="s">
        <v>234</v>
      </c>
      <c r="D116" s="14"/>
      <c r="E116" s="14"/>
      <c r="F116" s="14"/>
      <c r="G116" s="6"/>
      <c r="H116" s="30" t="s">
        <v>235</v>
      </c>
      <c r="I116" s="23" t="s">
        <v>236</v>
      </c>
      <c r="J116" s="10"/>
      <c r="K116" s="10"/>
      <c r="L116" s="10"/>
      <c r="P116" s="14"/>
    </row>
    <row r="117" spans="1:17" ht="14.4">
      <c r="A117" s="6" t="s">
        <v>233</v>
      </c>
      <c r="B117" s="7"/>
      <c r="C117" s="6"/>
      <c r="H117" s="9"/>
      <c r="I117" s="11"/>
      <c r="J117" s="10" t="s">
        <v>51</v>
      </c>
      <c r="K117" s="11"/>
      <c r="L117" s="11"/>
    </row>
    <row r="118" spans="1:17" ht="14.4">
      <c r="A118" s="6" t="s">
        <v>233</v>
      </c>
      <c r="B118" s="7"/>
      <c r="C118" s="7"/>
      <c r="H118" s="9"/>
      <c r="I118" s="11"/>
      <c r="J118" s="11"/>
      <c r="K118" s="11"/>
      <c r="L118" s="11"/>
      <c r="Q118" s="12" t="s">
        <v>22</v>
      </c>
    </row>
    <row r="119" spans="1:17" ht="14.4">
      <c r="A119" s="6" t="s">
        <v>233</v>
      </c>
      <c r="B119" s="7"/>
      <c r="C119" s="7"/>
      <c r="H119" s="9"/>
      <c r="I119" s="11"/>
      <c r="J119" s="11"/>
      <c r="K119" s="11"/>
      <c r="L119" s="11"/>
      <c r="Q119" s="16">
        <v>45713</v>
      </c>
    </row>
    <row r="120" spans="1:17" ht="14.4">
      <c r="A120" s="6" t="s">
        <v>237</v>
      </c>
      <c r="B120" s="7"/>
      <c r="C120" s="6"/>
      <c r="H120" s="9" t="s">
        <v>30</v>
      </c>
      <c r="I120" s="10" t="s">
        <v>50</v>
      </c>
      <c r="J120" s="11"/>
      <c r="K120" s="11"/>
      <c r="L120" s="11"/>
    </row>
    <row r="121" spans="1:17" ht="14.4">
      <c r="A121" s="14" t="s">
        <v>238</v>
      </c>
      <c r="B121" s="14"/>
      <c r="C121" s="19" t="str">
        <f>HYPERLINK("mailto:gardelita17@hotmail.com","gardelita17@hotmail.com")</f>
        <v>gardelita17@hotmail.com</v>
      </c>
      <c r="D121" s="14"/>
      <c r="E121" s="15">
        <v>41671</v>
      </c>
      <c r="F121" s="14"/>
      <c r="G121" s="14"/>
      <c r="H121" s="10"/>
      <c r="I121" s="10"/>
      <c r="J121" s="10"/>
      <c r="K121" s="10"/>
      <c r="L121" s="10"/>
      <c r="M121" s="14"/>
      <c r="N121" s="14"/>
      <c r="O121" s="14"/>
      <c r="P121" s="14"/>
    </row>
    <row r="122" spans="1:17" ht="14.4">
      <c r="A122" s="6" t="s">
        <v>239</v>
      </c>
      <c r="B122" s="7"/>
      <c r="C122" s="7"/>
      <c r="H122" s="9"/>
      <c r="I122" s="11" t="s">
        <v>24</v>
      </c>
      <c r="J122" s="11"/>
      <c r="K122" s="11"/>
      <c r="L122" s="11"/>
    </row>
    <row r="123" spans="1:17" ht="14.4">
      <c r="A123" s="6" t="s">
        <v>240</v>
      </c>
      <c r="B123" s="7"/>
      <c r="C123" s="7"/>
      <c r="H123" s="9" t="s">
        <v>23</v>
      </c>
      <c r="I123" s="11"/>
      <c r="J123" s="11"/>
      <c r="K123" s="11"/>
      <c r="L123" s="11"/>
    </row>
    <row r="124" spans="1:17" ht="14.4">
      <c r="A124" s="14" t="s">
        <v>241</v>
      </c>
      <c r="B124" s="14" t="s">
        <v>242</v>
      </c>
      <c r="C124" s="14" t="s">
        <v>243</v>
      </c>
      <c r="D124" s="15">
        <v>41579</v>
      </c>
      <c r="E124" s="14"/>
      <c r="F124" s="14"/>
      <c r="G124" s="14"/>
      <c r="H124" s="10"/>
      <c r="I124" s="10"/>
      <c r="J124" s="10"/>
      <c r="K124" s="10"/>
      <c r="L124" s="10"/>
      <c r="M124" s="14"/>
      <c r="N124" s="14"/>
      <c r="O124" s="14"/>
      <c r="P124" s="14"/>
    </row>
    <row r="125" spans="1:17" ht="14.4">
      <c r="A125" s="6" t="s">
        <v>244</v>
      </c>
      <c r="B125" s="7"/>
      <c r="C125" s="6"/>
      <c r="H125" s="9"/>
      <c r="I125" s="11"/>
      <c r="J125" s="11"/>
      <c r="K125" s="10" t="s">
        <v>49</v>
      </c>
      <c r="L125" s="11"/>
    </row>
    <row r="126" spans="1:17" ht="14.4">
      <c r="A126" s="6" t="s">
        <v>245</v>
      </c>
      <c r="B126" s="33">
        <v>1144720431</v>
      </c>
      <c r="C126" s="6" t="s">
        <v>246</v>
      </c>
      <c r="H126" s="53" t="s">
        <v>194</v>
      </c>
      <c r="I126" s="11" t="s">
        <v>247</v>
      </c>
      <c r="J126" s="10" t="s">
        <v>35</v>
      </c>
      <c r="K126" s="11"/>
      <c r="L126" s="11"/>
      <c r="P126" s="26" t="s">
        <v>75</v>
      </c>
    </row>
    <row r="127" spans="1:17" ht="14.4">
      <c r="A127" s="6" t="s">
        <v>248</v>
      </c>
      <c r="B127" s="8">
        <v>3462532206</v>
      </c>
      <c r="C127" s="6" t="s">
        <v>249</v>
      </c>
      <c r="H127" s="9" t="s">
        <v>94</v>
      </c>
      <c r="I127" s="10" t="s">
        <v>123</v>
      </c>
      <c r="J127" s="11" t="s">
        <v>124</v>
      </c>
      <c r="K127" s="11"/>
      <c r="L127" s="11"/>
    </row>
    <row r="128" spans="1:17" ht="14.4">
      <c r="A128" s="6" t="s">
        <v>248</v>
      </c>
      <c r="B128" s="7"/>
      <c r="C128" s="6"/>
      <c r="H128" s="9" t="s">
        <v>94</v>
      </c>
      <c r="I128" s="11"/>
      <c r="J128" s="11"/>
      <c r="K128" s="11"/>
      <c r="L128" s="11"/>
    </row>
    <row r="129" spans="1:16" ht="14.4">
      <c r="A129" s="6" t="s">
        <v>250</v>
      </c>
      <c r="B129" s="7"/>
      <c r="C129" s="7"/>
      <c r="H129" s="9" t="s">
        <v>23</v>
      </c>
      <c r="I129" s="11"/>
      <c r="J129" s="11"/>
      <c r="K129" s="11"/>
      <c r="L129" s="11"/>
    </row>
    <row r="130" spans="1:16" ht="14.4">
      <c r="A130" s="9" t="s">
        <v>250</v>
      </c>
      <c r="B130" s="7"/>
      <c r="C130" s="7"/>
      <c r="H130" s="9"/>
      <c r="I130" s="11" t="s">
        <v>24</v>
      </c>
      <c r="J130" s="11"/>
      <c r="K130" s="11"/>
      <c r="L130" s="11"/>
    </row>
    <row r="131" spans="1:16" ht="14.4">
      <c r="A131" s="6" t="s">
        <v>251</v>
      </c>
      <c r="B131" s="7"/>
      <c r="C131" s="6"/>
      <c r="H131" s="42">
        <v>45954</v>
      </c>
      <c r="I131" s="11"/>
      <c r="J131" s="11"/>
      <c r="K131" s="11"/>
      <c r="L131" s="11"/>
    </row>
    <row r="132" spans="1:16" ht="14.4">
      <c r="A132" s="9" t="s">
        <v>251</v>
      </c>
      <c r="B132" s="7"/>
      <c r="C132" s="6"/>
      <c r="H132" s="9"/>
      <c r="I132" s="41">
        <v>45985</v>
      </c>
      <c r="J132" s="11"/>
      <c r="K132" s="11"/>
      <c r="L132" s="11"/>
    </row>
    <row r="133" spans="1:16" ht="14.4">
      <c r="A133" s="6" t="s">
        <v>252</v>
      </c>
      <c r="B133" s="6" t="s">
        <v>103</v>
      </c>
      <c r="C133" s="6" t="s">
        <v>253</v>
      </c>
      <c r="H133" s="40">
        <v>45252</v>
      </c>
      <c r="I133" s="11"/>
      <c r="J133" s="11"/>
      <c r="K133" s="11"/>
      <c r="L133" s="11"/>
    </row>
    <row r="134" spans="1:16" ht="14.4">
      <c r="A134" s="14" t="s">
        <v>254</v>
      </c>
      <c r="B134" s="13">
        <v>1538329544</v>
      </c>
      <c r="C134" s="10" t="s">
        <v>255</v>
      </c>
      <c r="D134" s="21" t="s">
        <v>256</v>
      </c>
      <c r="E134" s="14"/>
      <c r="F134" s="14"/>
      <c r="G134" s="14"/>
      <c r="H134" s="23" t="s">
        <v>257</v>
      </c>
      <c r="I134" s="10"/>
      <c r="J134" s="10"/>
      <c r="K134" s="10"/>
      <c r="L134" s="10"/>
      <c r="M134" s="14"/>
      <c r="N134" s="14"/>
      <c r="O134" s="14"/>
      <c r="P134" s="14"/>
    </row>
    <row r="135" spans="1:16" ht="14.4">
      <c r="A135" s="6" t="s">
        <v>258</v>
      </c>
      <c r="B135" s="17">
        <v>1157031324</v>
      </c>
      <c r="C135" s="54" t="s">
        <v>259</v>
      </c>
      <c r="D135" s="14"/>
      <c r="E135" s="14"/>
      <c r="F135" s="14"/>
      <c r="G135" s="6"/>
      <c r="H135" s="9" t="s">
        <v>260</v>
      </c>
      <c r="I135" s="10" t="s">
        <v>212</v>
      </c>
      <c r="J135" s="10" t="s">
        <v>71</v>
      </c>
      <c r="K135" s="10" t="s">
        <v>261</v>
      </c>
      <c r="L135" s="10"/>
      <c r="P135" s="14"/>
    </row>
    <row r="136" spans="1:16" ht="14.4">
      <c r="A136" s="6" t="s">
        <v>262</v>
      </c>
      <c r="B136" s="7"/>
      <c r="C136" s="6"/>
      <c r="H136" s="9" t="s">
        <v>51</v>
      </c>
      <c r="I136" s="11"/>
      <c r="J136" s="11"/>
      <c r="K136" s="11"/>
      <c r="L136" s="11"/>
    </row>
    <row r="137" spans="1:16" ht="14.4">
      <c r="A137" s="13" t="s">
        <v>263</v>
      </c>
      <c r="B137" s="13" t="s">
        <v>264</v>
      </c>
      <c r="C137" s="46" t="str">
        <f>HYPERLINK("mailto:andreacanepari@yahoo.com.ar","andreacanepari@yahoo.com.ar")</f>
        <v>andreacanepari@yahoo.com.ar</v>
      </c>
      <c r="D137" s="14"/>
      <c r="E137" s="15">
        <v>41913</v>
      </c>
      <c r="F137" s="14"/>
      <c r="G137" s="14"/>
      <c r="H137" s="10"/>
      <c r="I137" s="10"/>
      <c r="J137" s="10"/>
      <c r="K137" s="10"/>
      <c r="L137" s="10"/>
      <c r="M137" s="14"/>
      <c r="N137" s="14"/>
      <c r="O137" s="14"/>
      <c r="P137" s="14"/>
    </row>
    <row r="138" spans="1:16" ht="14.4">
      <c r="A138" s="6" t="s">
        <v>265</v>
      </c>
      <c r="B138" s="7"/>
      <c r="C138" s="7"/>
      <c r="H138" s="9" t="s">
        <v>82</v>
      </c>
      <c r="I138" s="11"/>
      <c r="J138" s="11"/>
      <c r="K138" s="11"/>
      <c r="L138" s="11"/>
    </row>
    <row r="139" spans="1:16" ht="14.4">
      <c r="A139" s="9" t="s">
        <v>265</v>
      </c>
      <c r="B139" s="7"/>
      <c r="C139" s="7"/>
      <c r="H139" s="9"/>
      <c r="I139" s="35">
        <v>45713</v>
      </c>
      <c r="J139" s="11"/>
      <c r="K139" s="11"/>
      <c r="L139" s="11"/>
    </row>
    <row r="140" spans="1:16" ht="14.4">
      <c r="A140" s="6" t="s">
        <v>266</v>
      </c>
      <c r="B140" s="55">
        <v>1568159741</v>
      </c>
      <c r="C140" s="9" t="s">
        <v>267</v>
      </c>
      <c r="H140" s="22" t="s">
        <v>143</v>
      </c>
      <c r="I140" s="10" t="s">
        <v>268</v>
      </c>
      <c r="J140" s="10" t="s">
        <v>269</v>
      </c>
      <c r="K140" s="11" t="s">
        <v>110</v>
      </c>
      <c r="L140" s="11"/>
    </row>
    <row r="141" spans="1:16" ht="14.4">
      <c r="A141" s="13" t="s">
        <v>270</v>
      </c>
      <c r="B141" s="13" t="s">
        <v>271</v>
      </c>
      <c r="C141" s="14" t="s">
        <v>272</v>
      </c>
      <c r="D141" s="14"/>
      <c r="E141" s="14"/>
      <c r="F141" s="14"/>
      <c r="G141" s="15">
        <v>41852</v>
      </c>
      <c r="H141" s="56">
        <v>43515</v>
      </c>
      <c r="I141" s="20"/>
      <c r="J141" s="20"/>
      <c r="K141" s="20"/>
      <c r="L141" s="20"/>
      <c r="M141" s="14"/>
      <c r="N141" s="14"/>
      <c r="O141" s="14"/>
      <c r="P141" s="14"/>
    </row>
    <row r="142" spans="1:16" ht="14.4">
      <c r="A142" s="6" t="s">
        <v>273</v>
      </c>
      <c r="B142" s="8">
        <v>1157685872</v>
      </c>
      <c r="C142" s="14" t="s">
        <v>274</v>
      </c>
      <c r="H142" s="22" t="s">
        <v>275</v>
      </c>
      <c r="I142" s="11"/>
      <c r="J142" s="11"/>
      <c r="K142" s="11"/>
      <c r="L142" s="11"/>
    </row>
    <row r="143" spans="1:16" ht="14.4">
      <c r="A143" s="6" t="s">
        <v>276</v>
      </c>
      <c r="B143" s="7"/>
      <c r="C143" s="6"/>
      <c r="H143" s="9" t="s">
        <v>50</v>
      </c>
      <c r="I143" s="11"/>
      <c r="J143" s="11"/>
      <c r="K143" s="11"/>
      <c r="L143" s="11"/>
    </row>
    <row r="144" spans="1:16" ht="14.4">
      <c r="A144" s="14" t="s">
        <v>277</v>
      </c>
      <c r="B144" s="14"/>
      <c r="C144" s="19" t="str">
        <f>HYPERLINK("mailto:av_muller@hotmail.com","av_muller@hotmail.com")</f>
        <v>av_muller@hotmail.com</v>
      </c>
      <c r="D144" s="14"/>
      <c r="E144" s="15">
        <v>41306</v>
      </c>
      <c r="F144" s="14"/>
      <c r="G144" s="14"/>
      <c r="H144" s="10"/>
      <c r="I144" s="10"/>
      <c r="J144" s="10"/>
      <c r="K144" s="10"/>
      <c r="L144" s="10"/>
      <c r="M144" s="14"/>
      <c r="N144" s="14"/>
      <c r="O144" s="14"/>
      <c r="P144" s="14"/>
    </row>
    <row r="145" spans="1:16" ht="14.4">
      <c r="A145" s="7" t="s">
        <v>278</v>
      </c>
      <c r="B145" s="7"/>
      <c r="C145" s="7" t="s">
        <v>279</v>
      </c>
      <c r="H145" s="17" t="s">
        <v>20</v>
      </c>
      <c r="I145" s="10" t="s">
        <v>35</v>
      </c>
      <c r="J145" s="10" t="s">
        <v>67</v>
      </c>
      <c r="K145" s="11"/>
      <c r="L145" s="11"/>
    </row>
    <row r="146" spans="1:16" ht="14.4">
      <c r="A146" s="6" t="s">
        <v>280</v>
      </c>
      <c r="B146" s="32"/>
      <c r="C146" s="6" t="s">
        <v>281</v>
      </c>
      <c r="H146" s="53" t="s">
        <v>194</v>
      </c>
      <c r="I146" s="11"/>
      <c r="J146" s="11"/>
      <c r="K146" s="11"/>
      <c r="L146" s="11"/>
    </row>
    <row r="147" spans="1:16" ht="14.4">
      <c r="A147" s="6" t="s">
        <v>282</v>
      </c>
      <c r="B147" s="32"/>
      <c r="C147" s="6" t="s">
        <v>283</v>
      </c>
      <c r="D147" s="49">
        <v>44642</v>
      </c>
      <c r="H147" s="22"/>
      <c r="I147" s="11"/>
      <c r="J147" s="11"/>
      <c r="K147" s="11"/>
      <c r="L147" s="11"/>
    </row>
    <row r="148" spans="1:16" ht="14.4">
      <c r="A148" s="6" t="s">
        <v>284</v>
      </c>
      <c r="B148" s="7"/>
      <c r="C148" s="6" t="s">
        <v>285</v>
      </c>
      <c r="H148" s="9" t="s">
        <v>67</v>
      </c>
      <c r="I148" s="10" t="s">
        <v>68</v>
      </c>
      <c r="J148" s="10" t="s">
        <v>163</v>
      </c>
      <c r="K148" s="11"/>
      <c r="L148" s="11"/>
    </row>
    <row r="149" spans="1:16" ht="14.4">
      <c r="A149" s="14" t="s">
        <v>286</v>
      </c>
      <c r="B149" s="47"/>
      <c r="C149" s="19" t="str">
        <f>HYPERLINK("mailto:abombardieri12@gmail.com","abombardieri12@gmail.com")</f>
        <v>abombardieri12@gmail.com</v>
      </c>
      <c r="D149" s="14"/>
      <c r="E149" s="15">
        <v>41275</v>
      </c>
      <c r="F149" s="14"/>
      <c r="G149" s="14"/>
      <c r="H149" s="10"/>
      <c r="I149" s="10"/>
      <c r="J149" s="10"/>
      <c r="K149" s="10"/>
      <c r="L149" s="10"/>
      <c r="M149" s="14"/>
      <c r="N149" s="14"/>
      <c r="O149" s="14"/>
      <c r="P149" s="14"/>
    </row>
    <row r="150" spans="1:16" ht="14.4">
      <c r="A150" s="14" t="s">
        <v>287</v>
      </c>
      <c r="B150" s="14"/>
      <c r="C150" s="14" t="s">
        <v>288</v>
      </c>
      <c r="D150" s="14"/>
      <c r="E150" s="15">
        <v>41306</v>
      </c>
      <c r="F150" s="14"/>
      <c r="G150" s="14"/>
      <c r="H150" s="10"/>
      <c r="I150" s="10"/>
      <c r="J150" s="10"/>
      <c r="K150" s="10"/>
      <c r="L150" s="10"/>
      <c r="M150" s="14"/>
      <c r="N150" s="14"/>
      <c r="O150" s="14"/>
      <c r="P150" s="14"/>
    </row>
    <row r="151" spans="1:16" ht="14.4">
      <c r="A151" s="14" t="s">
        <v>289</v>
      </c>
      <c r="B151" s="14" t="s">
        <v>290</v>
      </c>
      <c r="C151" s="14" t="s">
        <v>291</v>
      </c>
      <c r="D151" s="14"/>
      <c r="E151" s="14"/>
      <c r="F151" s="15">
        <v>41000</v>
      </c>
      <c r="G151" s="14"/>
      <c r="H151" s="10"/>
      <c r="I151" s="10"/>
      <c r="J151" s="10"/>
      <c r="K151" s="10"/>
      <c r="L151" s="10"/>
      <c r="M151" s="14"/>
      <c r="N151" s="14"/>
      <c r="O151" s="14"/>
      <c r="P151" s="14"/>
    </row>
    <row r="152" spans="1:16" ht="14.4">
      <c r="A152" s="6" t="s">
        <v>292</v>
      </c>
      <c r="B152" s="8">
        <v>2920563291</v>
      </c>
      <c r="C152" s="6" t="s">
        <v>293</v>
      </c>
      <c r="H152" s="57" t="s">
        <v>294</v>
      </c>
      <c r="I152" s="11" t="s">
        <v>295</v>
      </c>
      <c r="J152" s="11"/>
      <c r="K152" s="11"/>
      <c r="L152" s="11"/>
    </row>
    <row r="153" spans="1:16" ht="14.4">
      <c r="A153" s="7" t="s">
        <v>296</v>
      </c>
      <c r="B153" s="7"/>
      <c r="C153" s="7" t="s">
        <v>297</v>
      </c>
      <c r="H153" s="17" t="s">
        <v>20</v>
      </c>
      <c r="I153" s="10" t="s">
        <v>35</v>
      </c>
      <c r="J153" s="10" t="s">
        <v>67</v>
      </c>
      <c r="K153" s="11"/>
      <c r="L153" s="11"/>
    </row>
    <row r="154" spans="1:16" ht="14.4">
      <c r="A154" s="14" t="s">
        <v>298</v>
      </c>
      <c r="B154" s="13"/>
      <c r="C154" s="14" t="s">
        <v>299</v>
      </c>
      <c r="D154" s="14"/>
      <c r="E154" s="14"/>
      <c r="F154" s="14"/>
      <c r="G154" s="14"/>
      <c r="H154" s="20">
        <v>42095</v>
      </c>
      <c r="I154" s="10"/>
      <c r="J154" s="10"/>
      <c r="K154" s="10"/>
      <c r="L154" s="10"/>
      <c r="M154" s="14"/>
      <c r="N154" s="14"/>
      <c r="O154" s="14"/>
      <c r="P154" s="14"/>
    </row>
    <row r="155" spans="1:16" ht="14.4">
      <c r="A155" s="13" t="s">
        <v>300</v>
      </c>
      <c r="B155" s="13" t="s">
        <v>301</v>
      </c>
      <c r="C155" s="13" t="s">
        <v>302</v>
      </c>
      <c r="D155" s="14"/>
      <c r="E155" s="15">
        <v>41913</v>
      </c>
      <c r="F155" s="15">
        <v>42156</v>
      </c>
      <c r="G155" s="14"/>
      <c r="H155" s="10"/>
      <c r="I155" s="10"/>
      <c r="J155" s="10"/>
      <c r="K155" s="10"/>
      <c r="L155" s="10"/>
      <c r="M155" s="14"/>
      <c r="N155" s="14"/>
      <c r="O155" s="14"/>
      <c r="P155" s="14"/>
    </row>
    <row r="156" spans="1:16" ht="14.4">
      <c r="A156" s="13" t="s">
        <v>303</v>
      </c>
      <c r="B156" s="13">
        <v>1561364891</v>
      </c>
      <c r="C156" s="13" t="s">
        <v>304</v>
      </c>
      <c r="D156" s="14"/>
      <c r="E156" s="15">
        <v>41913</v>
      </c>
      <c r="F156" s="14"/>
      <c r="G156" s="14"/>
      <c r="H156" s="10"/>
      <c r="I156" s="10"/>
      <c r="J156" s="10"/>
      <c r="K156" s="10"/>
      <c r="L156" s="10"/>
      <c r="M156" s="14"/>
      <c r="N156" s="14"/>
      <c r="O156" s="14"/>
    </row>
    <row r="157" spans="1:16" ht="14.4">
      <c r="A157" s="6" t="s">
        <v>305</v>
      </c>
      <c r="B157" s="8">
        <v>1140426093</v>
      </c>
      <c r="C157" s="6" t="s">
        <v>306</v>
      </c>
      <c r="H157" s="57" t="s">
        <v>294</v>
      </c>
      <c r="I157" s="43" t="s">
        <v>295</v>
      </c>
      <c r="J157" s="11"/>
      <c r="K157" s="11"/>
      <c r="L157" s="11"/>
    </row>
    <row r="158" spans="1:16" ht="14.4">
      <c r="A158" s="13" t="s">
        <v>307</v>
      </c>
      <c r="B158" s="13" t="s">
        <v>308</v>
      </c>
      <c r="C158" s="46" t="str">
        <f>HYPERLINK("mailto:aimourino@gmail.com","aimourino@gmail.com")</f>
        <v>aimourino@gmail.com</v>
      </c>
      <c r="D158" s="15">
        <v>40817</v>
      </c>
      <c r="E158" s="14"/>
      <c r="F158" s="14"/>
      <c r="G158" s="14"/>
      <c r="H158" s="10"/>
      <c r="I158" s="10"/>
      <c r="J158" s="10"/>
      <c r="K158" s="10"/>
      <c r="L158" s="10"/>
      <c r="M158" s="14"/>
      <c r="N158" s="14"/>
      <c r="O158" s="14"/>
      <c r="P158" s="14"/>
    </row>
    <row r="159" spans="1:16" ht="14.4">
      <c r="A159" s="6" t="s">
        <v>309</v>
      </c>
      <c r="B159" s="7"/>
      <c r="C159" s="6"/>
      <c r="H159" s="9" t="s">
        <v>30</v>
      </c>
      <c r="I159" s="11"/>
      <c r="J159" s="11"/>
      <c r="K159" s="11"/>
      <c r="L159" s="11"/>
    </row>
    <row r="160" spans="1:16" ht="14.4">
      <c r="A160" s="14" t="s">
        <v>310</v>
      </c>
      <c r="B160" s="17">
        <v>1136063607</v>
      </c>
      <c r="C160" s="14" t="s">
        <v>311</v>
      </c>
      <c r="D160" s="21" t="s">
        <v>256</v>
      </c>
      <c r="E160" s="14"/>
      <c r="F160" s="14"/>
      <c r="G160" s="14"/>
      <c r="H160" s="10"/>
      <c r="I160" s="10"/>
      <c r="J160" s="10"/>
      <c r="K160" s="10"/>
      <c r="L160" s="10"/>
      <c r="M160" s="14"/>
      <c r="N160" s="14"/>
      <c r="O160" s="14"/>
      <c r="P160" s="14"/>
    </row>
    <row r="161" spans="1:17" ht="14.4">
      <c r="A161" s="14" t="s">
        <v>312</v>
      </c>
      <c r="B161" s="58">
        <v>1540376246</v>
      </c>
      <c r="C161" s="14" t="s">
        <v>313</v>
      </c>
      <c r="D161" s="14"/>
      <c r="E161" s="21" t="s">
        <v>314</v>
      </c>
      <c r="F161" s="14"/>
      <c r="G161" s="14"/>
      <c r="H161" s="20">
        <v>41579</v>
      </c>
      <c r="I161" s="10"/>
      <c r="J161" s="10"/>
      <c r="K161" s="10"/>
      <c r="L161" s="10"/>
      <c r="M161" s="14"/>
      <c r="N161" s="14"/>
      <c r="O161" s="14"/>
    </row>
    <row r="162" spans="1:17" ht="14.4">
      <c r="A162" s="6" t="s">
        <v>315</v>
      </c>
      <c r="B162" s="7"/>
      <c r="C162" s="6" t="s">
        <v>316</v>
      </c>
      <c r="H162" s="9" t="s">
        <v>67</v>
      </c>
      <c r="I162" s="10" t="s">
        <v>68</v>
      </c>
      <c r="J162" s="11"/>
      <c r="K162" s="11"/>
      <c r="L162" s="11"/>
    </row>
    <row r="163" spans="1:17" ht="14.4">
      <c r="A163" s="14" t="s">
        <v>317</v>
      </c>
      <c r="B163" s="47" t="s">
        <v>318</v>
      </c>
      <c r="C163" s="19" t="str">
        <f>HYPERLINK("mailto:anto_viola@hotmail.com","anto_viola@hotmail.com")</f>
        <v>anto_viola@hotmail.com</v>
      </c>
      <c r="D163" s="14"/>
      <c r="E163" s="15">
        <v>41275</v>
      </c>
      <c r="F163" s="14"/>
      <c r="G163" s="14"/>
      <c r="H163" s="10"/>
      <c r="I163" s="10"/>
      <c r="J163" s="10"/>
      <c r="K163" s="10"/>
      <c r="L163" s="10"/>
      <c r="M163" s="14"/>
      <c r="N163" s="14"/>
      <c r="O163" s="14"/>
      <c r="P163" s="14"/>
    </row>
    <row r="164" spans="1:17" ht="14.4">
      <c r="A164" s="6" t="s">
        <v>319</v>
      </c>
      <c r="B164" s="7"/>
      <c r="C164" s="6" t="s">
        <v>320</v>
      </c>
      <c r="H164" s="9" t="s">
        <v>123</v>
      </c>
      <c r="I164" s="11"/>
      <c r="J164" s="11"/>
      <c r="K164" s="11"/>
      <c r="L164" s="11"/>
    </row>
    <row r="165" spans="1:17" ht="14.4">
      <c r="A165" s="6" t="s">
        <v>321</v>
      </c>
      <c r="B165" s="6" t="s">
        <v>103</v>
      </c>
      <c r="C165" s="6" t="s">
        <v>322</v>
      </c>
      <c r="H165" s="40">
        <v>45252</v>
      </c>
      <c r="I165" s="11" t="s">
        <v>101</v>
      </c>
      <c r="J165" s="11"/>
      <c r="K165" s="11"/>
      <c r="L165" s="11"/>
    </row>
    <row r="166" spans="1:17" ht="14.4">
      <c r="A166" s="6" t="s">
        <v>323</v>
      </c>
      <c r="B166" s="7"/>
      <c r="C166" s="6"/>
      <c r="H166" s="9" t="s">
        <v>50</v>
      </c>
      <c r="I166" s="11"/>
      <c r="J166" s="11"/>
      <c r="K166" s="11"/>
      <c r="L166" s="11"/>
    </row>
    <row r="167" spans="1:17" ht="14.4">
      <c r="A167" s="6" t="s">
        <v>324</v>
      </c>
      <c r="B167" s="7"/>
      <c r="C167" s="6"/>
      <c r="H167" s="9" t="s">
        <v>49</v>
      </c>
      <c r="I167" s="11"/>
      <c r="J167" s="11"/>
      <c r="K167" s="11"/>
      <c r="L167" s="11"/>
    </row>
    <row r="168" spans="1:17" ht="14.4">
      <c r="A168" s="6" t="s">
        <v>325</v>
      </c>
      <c r="B168" s="8">
        <v>1122738228</v>
      </c>
      <c r="C168" s="6" t="s">
        <v>326</v>
      </c>
      <c r="H168" s="9" t="s">
        <v>94</v>
      </c>
      <c r="I168" s="10" t="s">
        <v>123</v>
      </c>
      <c r="J168" s="11" t="s">
        <v>124</v>
      </c>
      <c r="K168" s="11"/>
      <c r="L168" s="11"/>
    </row>
    <row r="169" spans="1:17" ht="14.4">
      <c r="A169" s="6" t="s">
        <v>325</v>
      </c>
      <c r="B169" s="7"/>
      <c r="C169" s="6"/>
      <c r="H169" s="9" t="s">
        <v>94</v>
      </c>
      <c r="I169" s="11"/>
      <c r="J169" s="11"/>
      <c r="K169" s="11"/>
      <c r="L169" s="11"/>
    </row>
    <row r="170" spans="1:17" ht="14.4">
      <c r="A170" s="6" t="s">
        <v>325</v>
      </c>
      <c r="B170" s="7"/>
      <c r="C170" s="6"/>
      <c r="H170" s="9"/>
      <c r="I170" s="11"/>
      <c r="J170" s="10" t="s">
        <v>31</v>
      </c>
      <c r="K170" s="11"/>
      <c r="L170" s="11"/>
    </row>
    <row r="171" spans="1:17" ht="14.4">
      <c r="A171" s="6" t="s">
        <v>327</v>
      </c>
      <c r="B171" s="7"/>
      <c r="C171" s="7"/>
      <c r="H171" s="9"/>
      <c r="I171" s="11"/>
      <c r="J171" s="10" t="s">
        <v>19</v>
      </c>
      <c r="K171" s="17" t="s">
        <v>20</v>
      </c>
      <c r="L171" s="11"/>
    </row>
    <row r="172" spans="1:17" ht="14.4">
      <c r="A172" s="9" t="s">
        <v>328</v>
      </c>
      <c r="B172" s="7"/>
      <c r="C172" s="6" t="s">
        <v>329</v>
      </c>
      <c r="H172" s="9" t="s">
        <v>109</v>
      </c>
      <c r="I172" s="11"/>
      <c r="J172" s="11" t="s">
        <v>159</v>
      </c>
      <c r="K172" s="17" t="s">
        <v>20</v>
      </c>
      <c r="L172" s="11" t="s">
        <v>75</v>
      </c>
    </row>
    <row r="173" spans="1:17" ht="14.4">
      <c r="A173" s="6" t="s">
        <v>330</v>
      </c>
      <c r="B173" s="7"/>
      <c r="C173" s="6"/>
      <c r="H173" s="9" t="s">
        <v>49</v>
      </c>
      <c r="I173" s="11"/>
      <c r="J173" s="11"/>
      <c r="K173" s="11"/>
      <c r="L173" s="11"/>
    </row>
    <row r="174" spans="1:17" ht="14.4">
      <c r="A174" s="7" t="s">
        <v>331</v>
      </c>
      <c r="B174" s="31">
        <v>1136836037</v>
      </c>
      <c r="C174" s="7" t="s">
        <v>332</v>
      </c>
      <c r="D174" s="21" t="s">
        <v>71</v>
      </c>
      <c r="H174" s="22"/>
      <c r="I174" s="11"/>
      <c r="J174" s="11"/>
      <c r="K174" s="11"/>
      <c r="L174" s="11"/>
      <c r="P174" s="14"/>
    </row>
    <row r="175" spans="1:17" ht="14.4">
      <c r="A175" s="6" t="s">
        <v>333</v>
      </c>
      <c r="B175" s="7"/>
      <c r="C175" s="7"/>
      <c r="H175" s="9"/>
      <c r="I175" s="11"/>
      <c r="J175" s="11"/>
      <c r="K175" s="11"/>
      <c r="L175" s="11"/>
      <c r="Q175" s="16">
        <v>45833</v>
      </c>
    </row>
    <row r="176" spans="1:17" ht="14.4">
      <c r="A176" s="6" t="s">
        <v>334</v>
      </c>
      <c r="B176" s="7"/>
      <c r="C176" s="6"/>
      <c r="H176" s="9" t="s">
        <v>29</v>
      </c>
      <c r="I176" s="11"/>
      <c r="J176" s="11"/>
      <c r="K176" s="11"/>
      <c r="L176" s="11"/>
    </row>
    <row r="177" spans="1:16" ht="14.4">
      <c r="A177" s="6" t="s">
        <v>334</v>
      </c>
      <c r="B177" s="7"/>
      <c r="C177" s="6"/>
      <c r="H177" s="9"/>
      <c r="I177" s="10" t="s">
        <v>30</v>
      </c>
      <c r="J177" s="11"/>
      <c r="K177" s="11"/>
      <c r="L177" s="11"/>
    </row>
    <row r="178" spans="1:16" ht="14.4">
      <c r="A178" s="6" t="s">
        <v>334</v>
      </c>
      <c r="B178" s="7"/>
      <c r="C178" s="6"/>
      <c r="H178" s="9"/>
      <c r="I178" s="11"/>
      <c r="J178" s="10" t="s">
        <v>31</v>
      </c>
      <c r="K178" s="11"/>
      <c r="L178" s="11"/>
    </row>
    <row r="179" spans="1:16" ht="14.4">
      <c r="A179" s="6" t="s">
        <v>335</v>
      </c>
      <c r="B179" s="7"/>
      <c r="C179" s="7"/>
      <c r="H179" s="9"/>
      <c r="I179" s="11"/>
      <c r="J179" s="11"/>
      <c r="K179" s="17" t="s">
        <v>20</v>
      </c>
      <c r="L179" s="11"/>
    </row>
    <row r="180" spans="1:16" ht="14.4">
      <c r="A180" s="6" t="s">
        <v>335</v>
      </c>
      <c r="B180" s="7"/>
      <c r="C180" s="6"/>
      <c r="H180" s="9"/>
      <c r="I180" s="11"/>
      <c r="J180" s="41">
        <v>45954</v>
      </c>
      <c r="K180" s="11"/>
      <c r="L180" s="11"/>
    </row>
    <row r="181" spans="1:16" ht="14.4">
      <c r="A181" s="6" t="s">
        <v>336</v>
      </c>
      <c r="B181" s="8">
        <v>3516142968</v>
      </c>
      <c r="C181" s="6" t="s">
        <v>337</v>
      </c>
      <c r="H181" s="22"/>
      <c r="I181" s="11"/>
      <c r="J181" s="11"/>
      <c r="K181" s="11"/>
      <c r="L181" s="11"/>
      <c r="P181" s="12" t="s">
        <v>194</v>
      </c>
    </row>
    <row r="182" spans="1:16" ht="14.4">
      <c r="A182" s="9" t="s">
        <v>338</v>
      </c>
      <c r="B182" s="7"/>
      <c r="C182" s="7"/>
      <c r="H182" s="9" t="s">
        <v>67</v>
      </c>
      <c r="I182" s="11"/>
      <c r="J182" s="11"/>
      <c r="K182" s="11"/>
      <c r="L182" s="11"/>
    </row>
    <row r="183" spans="1:16" ht="14.4">
      <c r="A183" s="6" t="s">
        <v>339</v>
      </c>
      <c r="B183" s="7"/>
      <c r="C183" s="6"/>
      <c r="H183" s="9" t="s">
        <v>49</v>
      </c>
      <c r="I183" s="11"/>
      <c r="J183" s="11"/>
      <c r="K183" s="11"/>
      <c r="L183" s="11"/>
    </row>
    <row r="184" spans="1:16" ht="14.4">
      <c r="A184" s="9" t="s">
        <v>339</v>
      </c>
      <c r="B184" s="7"/>
      <c r="C184" s="6"/>
      <c r="H184" s="9"/>
      <c r="I184" s="41">
        <v>45954</v>
      </c>
      <c r="J184" s="11"/>
      <c r="K184" s="11"/>
      <c r="L184" s="11"/>
    </row>
    <row r="185" spans="1:16" ht="14.4">
      <c r="A185" s="6" t="s">
        <v>340</v>
      </c>
      <c r="B185" s="7"/>
      <c r="C185" s="6" t="s">
        <v>341</v>
      </c>
      <c r="H185" s="9"/>
      <c r="I185" s="41">
        <v>45253</v>
      </c>
      <c r="J185" s="11"/>
      <c r="K185" s="11"/>
      <c r="L185" s="11"/>
    </row>
    <row r="186" spans="1:16" ht="14.4">
      <c r="A186" s="14" t="s">
        <v>342</v>
      </c>
      <c r="B186" s="14"/>
      <c r="C186" s="19" t="str">
        <f>HYPERLINK("mailto:belen.casla.andreoni@gmail.com","belen.casla.andreoni@gmail.com")</f>
        <v>belen.casla.andreoni@gmail.com</v>
      </c>
      <c r="D186" s="14"/>
      <c r="E186" s="15">
        <v>41518</v>
      </c>
      <c r="F186" s="14"/>
      <c r="G186" s="14"/>
      <c r="H186" s="10"/>
      <c r="I186" s="10"/>
      <c r="J186" s="10"/>
      <c r="K186" s="10"/>
      <c r="L186" s="10"/>
      <c r="M186" s="14"/>
      <c r="N186" s="14"/>
      <c r="O186" s="14"/>
      <c r="P186" s="14"/>
    </row>
    <row r="187" spans="1:16" ht="14.4">
      <c r="A187" s="14" t="s">
        <v>343</v>
      </c>
      <c r="B187" s="14"/>
      <c r="C187" s="14" t="s">
        <v>344</v>
      </c>
      <c r="D187" s="14"/>
      <c r="E187" s="14"/>
      <c r="F187" s="14"/>
      <c r="G187" s="14"/>
      <c r="H187" s="10"/>
      <c r="I187" s="10"/>
      <c r="J187" s="10"/>
      <c r="K187" s="10"/>
      <c r="L187" s="10"/>
      <c r="M187" s="14"/>
      <c r="N187" s="14"/>
      <c r="O187" s="14"/>
      <c r="P187" s="14"/>
    </row>
    <row r="188" spans="1:16" ht="14.4">
      <c r="A188" s="14" t="s">
        <v>345</v>
      </c>
      <c r="B188" s="13" t="s">
        <v>346</v>
      </c>
      <c r="C188" s="14" t="s">
        <v>347</v>
      </c>
      <c r="D188" s="15">
        <v>41579</v>
      </c>
      <c r="E188" s="14"/>
      <c r="F188" s="14"/>
      <c r="G188" s="14"/>
      <c r="H188" s="10"/>
      <c r="I188" s="10"/>
      <c r="J188" s="10"/>
      <c r="K188" s="10"/>
      <c r="L188" s="10"/>
      <c r="M188" s="14"/>
      <c r="N188" s="14"/>
      <c r="O188" s="14"/>
      <c r="P188" s="14"/>
    </row>
    <row r="189" spans="1:16" ht="14.4">
      <c r="A189" s="59" t="s">
        <v>348</v>
      </c>
      <c r="B189" s="60">
        <v>1134807845</v>
      </c>
      <c r="C189" s="59" t="s">
        <v>349</v>
      </c>
      <c r="H189" s="22"/>
      <c r="I189" s="11"/>
      <c r="J189" s="11"/>
      <c r="K189" s="10" t="s">
        <v>212</v>
      </c>
      <c r="L189" s="10"/>
      <c r="P189" s="14"/>
    </row>
    <row r="190" spans="1:16" ht="14.4">
      <c r="A190" s="14" t="s">
        <v>350</v>
      </c>
      <c r="B190" s="47" t="s">
        <v>351</v>
      </c>
      <c r="C190" s="19" t="str">
        <f>HYPERLINK("mailto:mbem84@gmail.com","mbem84@gmail.com")</f>
        <v>mbem84@gmail.com</v>
      </c>
      <c r="D190" s="14"/>
      <c r="E190" s="15">
        <v>41275</v>
      </c>
      <c r="F190" s="14"/>
      <c r="G190" s="14"/>
      <c r="H190" s="10"/>
      <c r="I190" s="10"/>
      <c r="J190" s="10"/>
      <c r="K190" s="10"/>
      <c r="L190" s="10"/>
      <c r="M190" s="14"/>
      <c r="N190" s="14"/>
      <c r="O190" s="14"/>
      <c r="P190" s="14"/>
    </row>
    <row r="191" spans="1:16" ht="14.4">
      <c r="A191" s="6" t="s">
        <v>352</v>
      </c>
      <c r="B191" s="7"/>
      <c r="C191" s="7"/>
      <c r="H191" s="40">
        <v>45252</v>
      </c>
      <c r="I191" s="11"/>
      <c r="J191" s="11"/>
      <c r="K191" s="11"/>
      <c r="L191" s="11"/>
    </row>
    <row r="192" spans="1:16" ht="14.4">
      <c r="A192" s="7" t="s">
        <v>353</v>
      </c>
      <c r="B192" s="32"/>
      <c r="C192" s="25" t="s">
        <v>354</v>
      </c>
      <c r="D192" s="21" t="s">
        <v>355</v>
      </c>
      <c r="H192" s="30" t="s">
        <v>73</v>
      </c>
      <c r="I192" s="11"/>
      <c r="J192" s="11"/>
      <c r="K192" s="11"/>
      <c r="L192" s="11"/>
      <c r="P192" s="14"/>
    </row>
    <row r="193" spans="1:17" ht="14.4">
      <c r="A193" s="6" t="s">
        <v>356</v>
      </c>
      <c r="B193" s="7"/>
      <c r="C193" s="6" t="s">
        <v>357</v>
      </c>
      <c r="H193" s="42">
        <v>45222</v>
      </c>
      <c r="I193" s="11"/>
      <c r="J193" s="11"/>
      <c r="K193" s="11"/>
      <c r="L193" s="11"/>
    </row>
    <row r="194" spans="1:17" ht="14.4">
      <c r="A194" s="45" t="s">
        <v>358</v>
      </c>
      <c r="B194" s="45" t="s">
        <v>359</v>
      </c>
      <c r="C194" s="46" t="str">
        <f>HYPERLINK("mailto:bibianarodriguez75@yahoo.com.ar","bibianarodriguez75@yahoo.com.ar")</f>
        <v>bibianarodriguez75@yahoo.com.ar</v>
      </c>
      <c r="D194" s="14"/>
      <c r="E194" s="15">
        <v>41913</v>
      </c>
      <c r="F194" s="14"/>
      <c r="G194" s="14"/>
      <c r="H194" s="10"/>
      <c r="I194" s="10"/>
      <c r="J194" s="10"/>
      <c r="K194" s="10"/>
      <c r="L194" s="10"/>
      <c r="M194" s="14"/>
      <c r="N194" s="14"/>
      <c r="O194" s="14"/>
      <c r="P194" s="14"/>
    </row>
    <row r="195" spans="1:17" ht="14.4">
      <c r="A195" s="6" t="s">
        <v>360</v>
      </c>
      <c r="B195" s="7"/>
      <c r="C195" s="6"/>
      <c r="H195" s="9" t="s">
        <v>50</v>
      </c>
      <c r="I195" s="11"/>
      <c r="J195" s="11"/>
      <c r="K195" s="11"/>
      <c r="L195" s="11"/>
    </row>
    <row r="196" spans="1:17" ht="14.4">
      <c r="A196" s="6" t="s">
        <v>360</v>
      </c>
      <c r="B196" s="7"/>
      <c r="C196" s="6"/>
      <c r="H196" s="9"/>
      <c r="I196" s="10" t="s">
        <v>51</v>
      </c>
      <c r="J196" s="11"/>
      <c r="K196" s="11"/>
      <c r="L196" s="11"/>
    </row>
    <row r="197" spans="1:17" ht="14.4">
      <c r="A197" s="6" t="s">
        <v>360</v>
      </c>
      <c r="B197" s="7"/>
      <c r="C197" s="6"/>
      <c r="H197" s="9"/>
      <c r="I197" s="11"/>
      <c r="J197" s="41">
        <v>45954</v>
      </c>
      <c r="K197" s="11"/>
      <c r="L197" s="11"/>
    </row>
    <row r="198" spans="1:17" ht="14.4">
      <c r="A198" s="6" t="s">
        <v>361</v>
      </c>
      <c r="B198" s="7"/>
      <c r="C198" s="6"/>
      <c r="H198" s="9"/>
      <c r="I198" s="11"/>
      <c r="J198" s="11"/>
      <c r="K198" s="11"/>
      <c r="L198" s="11"/>
      <c r="Q198" s="16">
        <v>45985</v>
      </c>
    </row>
    <row r="199" spans="1:17" ht="14.4">
      <c r="A199" s="14" t="s">
        <v>362</v>
      </c>
      <c r="B199" s="14" t="s">
        <v>363</v>
      </c>
      <c r="C199" s="14" t="s">
        <v>364</v>
      </c>
      <c r="D199" s="15">
        <v>42186</v>
      </c>
      <c r="E199" s="14"/>
      <c r="F199" s="21" t="s">
        <v>135</v>
      </c>
      <c r="G199" s="14"/>
      <c r="H199" s="10"/>
      <c r="I199" s="10"/>
      <c r="J199" s="10"/>
      <c r="K199" s="10"/>
      <c r="L199" s="10"/>
      <c r="M199" s="14"/>
      <c r="N199" s="14"/>
      <c r="O199" s="14"/>
      <c r="P199" s="14"/>
    </row>
    <row r="200" spans="1:17" ht="14.4">
      <c r="A200" s="6" t="s">
        <v>365</v>
      </c>
      <c r="B200" s="7"/>
      <c r="C200" s="6" t="s">
        <v>366</v>
      </c>
      <c r="H200" s="6" t="s">
        <v>34</v>
      </c>
      <c r="I200" s="9" t="s">
        <v>109</v>
      </c>
      <c r="J200" s="11" t="s">
        <v>159</v>
      </c>
      <c r="K200" s="11"/>
      <c r="L200" s="11"/>
    </row>
    <row r="201" spans="1:17" ht="14.4">
      <c r="A201" s="14" t="s">
        <v>367</v>
      </c>
      <c r="B201" s="14" t="s">
        <v>368</v>
      </c>
      <c r="C201" s="19" t="str">
        <f>HYPERLINK("mailto:ssandrarxtop@yahoo.com.ar","ssandrarxtop@yahoo.com.ar")</f>
        <v>ssandrarxtop@yahoo.com.ar</v>
      </c>
      <c r="D201" s="15">
        <v>41579</v>
      </c>
      <c r="E201" s="14"/>
      <c r="F201" s="14"/>
      <c r="G201" s="14"/>
      <c r="H201" s="10"/>
      <c r="I201" s="10"/>
      <c r="J201" s="10"/>
      <c r="K201" s="10"/>
      <c r="L201" s="10"/>
      <c r="M201" s="14"/>
      <c r="N201" s="14"/>
      <c r="O201" s="14"/>
      <c r="P201" s="14"/>
    </row>
    <row r="202" spans="1:17" ht="14.4">
      <c r="A202" s="9" t="s">
        <v>369</v>
      </c>
      <c r="B202" s="27" t="s">
        <v>370</v>
      </c>
      <c r="C202" s="17" t="s">
        <v>371</v>
      </c>
      <c r="E202" s="21" t="s">
        <v>372</v>
      </c>
      <c r="H202" s="22"/>
      <c r="I202" s="11"/>
      <c r="J202" s="11"/>
      <c r="K202" s="11"/>
      <c r="L202" s="11"/>
      <c r="P202" s="14"/>
    </row>
    <row r="203" spans="1:17" ht="14.4">
      <c r="A203" s="6" t="s">
        <v>373</v>
      </c>
      <c r="B203" s="7"/>
      <c r="C203" s="6" t="s">
        <v>374</v>
      </c>
      <c r="H203" s="6" t="s">
        <v>34</v>
      </c>
      <c r="I203" s="9" t="s">
        <v>109</v>
      </c>
      <c r="J203" s="11" t="s">
        <v>159</v>
      </c>
      <c r="K203" s="11"/>
      <c r="L203" s="11"/>
    </row>
    <row r="204" spans="1:17" ht="14.4">
      <c r="A204" s="6" t="s">
        <v>375</v>
      </c>
      <c r="B204" s="33">
        <v>1167693569</v>
      </c>
      <c r="C204" s="6" t="s">
        <v>376</v>
      </c>
      <c r="D204" s="14"/>
      <c r="E204" s="14"/>
      <c r="F204" s="14"/>
      <c r="G204" s="6"/>
      <c r="H204" s="30" t="s">
        <v>235</v>
      </c>
      <c r="I204" s="23" t="s">
        <v>236</v>
      </c>
      <c r="J204" s="10"/>
      <c r="K204" s="10"/>
      <c r="L204" s="10"/>
      <c r="P204" s="14"/>
    </row>
    <row r="205" spans="1:17" ht="14.4">
      <c r="A205" s="13" t="s">
        <v>377</v>
      </c>
      <c r="B205" s="13">
        <v>1530153361</v>
      </c>
      <c r="C205" s="13" t="s">
        <v>378</v>
      </c>
      <c r="D205" s="14"/>
      <c r="E205" s="15">
        <v>41821</v>
      </c>
      <c r="F205" s="14"/>
      <c r="G205" s="14"/>
      <c r="H205" s="10"/>
      <c r="I205" s="10"/>
      <c r="J205" s="10"/>
      <c r="K205" s="10"/>
      <c r="L205" s="10"/>
      <c r="M205" s="14"/>
      <c r="N205" s="14"/>
      <c r="O205" s="14"/>
      <c r="P205" s="14"/>
    </row>
    <row r="206" spans="1:17" ht="14.4">
      <c r="A206" s="14" t="s">
        <v>379</v>
      </c>
      <c r="B206" s="14"/>
      <c r="C206" s="19" t="str">
        <f>HYPERLINK("mailto:silviaporritelli@yahoo.com.ar","silviaporritelli@yahoo.com.ar")</f>
        <v>silviaporritelli@yahoo.com.ar</v>
      </c>
      <c r="D206" s="14"/>
      <c r="E206" s="15">
        <v>41640</v>
      </c>
      <c r="F206" s="14"/>
      <c r="G206" s="14"/>
      <c r="H206" s="10"/>
      <c r="I206" s="10"/>
      <c r="J206" s="10"/>
      <c r="K206" s="10"/>
      <c r="L206" s="10"/>
      <c r="M206" s="14"/>
      <c r="N206" s="14"/>
      <c r="O206" s="14"/>
      <c r="P206" s="14"/>
    </row>
    <row r="207" spans="1:17" ht="14.4">
      <c r="A207" s="6" t="s">
        <v>380</v>
      </c>
      <c r="B207" s="7"/>
      <c r="C207" s="6"/>
      <c r="H207" s="9" t="s">
        <v>30</v>
      </c>
      <c r="I207" s="10" t="s">
        <v>31</v>
      </c>
      <c r="J207" s="11"/>
      <c r="K207" s="11"/>
      <c r="L207" s="11"/>
    </row>
    <row r="208" spans="1:17" ht="14.4">
      <c r="A208" s="9" t="s">
        <v>380</v>
      </c>
      <c r="B208" s="7"/>
      <c r="C208" s="6"/>
      <c r="H208" s="9"/>
      <c r="I208" s="11"/>
      <c r="J208" s="10" t="s">
        <v>49</v>
      </c>
      <c r="K208" s="11"/>
      <c r="L208" s="11"/>
    </row>
    <row r="209" spans="1:16" ht="14.4">
      <c r="A209" s="14" t="s">
        <v>381</v>
      </c>
      <c r="B209" s="14" t="s">
        <v>382</v>
      </c>
      <c r="C209" s="14" t="s">
        <v>383</v>
      </c>
      <c r="D209" s="15">
        <v>42095</v>
      </c>
      <c r="E209" s="14"/>
      <c r="F209" s="14"/>
      <c r="G209" s="14"/>
      <c r="H209" s="10"/>
      <c r="I209" s="10"/>
      <c r="J209" s="10"/>
      <c r="K209" s="10"/>
      <c r="L209" s="10"/>
      <c r="M209" s="14"/>
      <c r="N209" s="14"/>
      <c r="O209" s="14"/>
      <c r="P209" s="14"/>
    </row>
    <row r="210" spans="1:16" ht="14.4">
      <c r="A210" s="14" t="s">
        <v>384</v>
      </c>
      <c r="B210" s="14" t="s">
        <v>385</v>
      </c>
      <c r="C210" s="19" t="str">
        <f>HYPERLINK("mailto:cande777@hotmail.com","cande777@hotmail.com")</f>
        <v>cande777@hotmail.com</v>
      </c>
      <c r="D210" s="14"/>
      <c r="E210" s="14"/>
      <c r="F210" s="14"/>
      <c r="G210" s="14"/>
      <c r="H210" s="20">
        <v>41395</v>
      </c>
      <c r="I210" s="10"/>
      <c r="J210" s="10"/>
      <c r="K210" s="10"/>
      <c r="L210" s="10"/>
      <c r="M210" s="14"/>
      <c r="N210" s="14"/>
      <c r="O210" s="14"/>
      <c r="P210" s="14"/>
    </row>
    <row r="211" spans="1:16" ht="14.4">
      <c r="A211" s="14" t="s">
        <v>386</v>
      </c>
      <c r="B211" s="14"/>
      <c r="C211" s="19" t="str">
        <f>HYPERLINK("mailto:carina_schimpf@hotmail.com","carina_schimpf@hotmail.com")</f>
        <v>carina_schimpf@hotmail.com</v>
      </c>
      <c r="D211" s="14"/>
      <c r="E211" s="14"/>
      <c r="F211" s="14"/>
      <c r="G211" s="14"/>
      <c r="H211" s="10"/>
      <c r="I211" s="10"/>
      <c r="J211" s="10"/>
      <c r="K211" s="10"/>
      <c r="L211" s="10"/>
      <c r="M211" s="14"/>
      <c r="N211" s="14"/>
      <c r="O211" s="14"/>
      <c r="P211" s="14"/>
    </row>
    <row r="212" spans="1:16" ht="14.4">
      <c r="A212" s="14" t="s">
        <v>387</v>
      </c>
      <c r="B212" s="17">
        <v>1559828279</v>
      </c>
      <c r="C212" s="10" t="s">
        <v>388</v>
      </c>
      <c r="D212" s="36">
        <v>43299</v>
      </c>
      <c r="H212" s="22"/>
      <c r="I212" s="11"/>
      <c r="J212" s="11"/>
      <c r="K212" s="11"/>
      <c r="L212" s="11"/>
      <c r="P212" s="14"/>
    </row>
    <row r="213" spans="1:16" ht="14.4">
      <c r="A213" s="61" t="s">
        <v>389</v>
      </c>
      <c r="B213" s="6"/>
      <c r="C213" s="6" t="s">
        <v>390</v>
      </c>
      <c r="G213" s="6" t="s">
        <v>34</v>
      </c>
      <c r="H213" s="9" t="s">
        <v>109</v>
      </c>
      <c r="I213" s="11"/>
      <c r="J213" s="11"/>
      <c r="K213" s="11"/>
      <c r="L213" s="11"/>
    </row>
    <row r="214" spans="1:16" ht="14.4">
      <c r="A214" s="6" t="s">
        <v>391</v>
      </c>
      <c r="B214" s="7"/>
      <c r="C214" s="6" t="s">
        <v>392</v>
      </c>
      <c r="H214" s="9" t="s">
        <v>67</v>
      </c>
      <c r="I214" s="10" t="s">
        <v>68</v>
      </c>
      <c r="J214" s="10" t="s">
        <v>163</v>
      </c>
      <c r="K214" s="11"/>
      <c r="L214" s="11"/>
    </row>
    <row r="215" spans="1:16" ht="14.4">
      <c r="A215" s="6" t="s">
        <v>393</v>
      </c>
      <c r="B215" s="7"/>
      <c r="C215" s="6"/>
      <c r="H215" s="9"/>
      <c r="I215" s="11"/>
      <c r="J215" s="11"/>
      <c r="K215" s="11"/>
      <c r="L215" s="11"/>
      <c r="P215" s="7" t="s">
        <v>49</v>
      </c>
    </row>
    <row r="216" spans="1:16" ht="14.4">
      <c r="A216" s="14" t="s">
        <v>394</v>
      </c>
      <c r="B216" s="14" t="s">
        <v>395</v>
      </c>
      <c r="C216" s="19" t="str">
        <f>HYPERLINK("mailto:carladelmar@hotmail.com","carladelmar@hotmail.com")</f>
        <v>carladelmar@hotmail.com</v>
      </c>
      <c r="D216" s="15">
        <v>40664</v>
      </c>
      <c r="E216" s="14"/>
      <c r="F216" s="15">
        <v>40787</v>
      </c>
      <c r="G216" s="14"/>
      <c r="H216" s="10"/>
      <c r="I216" s="10"/>
      <c r="J216" s="10"/>
      <c r="K216" s="10"/>
      <c r="L216" s="10"/>
      <c r="M216" s="14"/>
      <c r="N216" s="14"/>
      <c r="O216" s="14"/>
      <c r="P216" s="14"/>
    </row>
    <row r="217" spans="1:16" ht="14.4">
      <c r="A217" s="14" t="s">
        <v>396</v>
      </c>
      <c r="B217" s="14" t="s">
        <v>397</v>
      </c>
      <c r="C217" s="14" t="s">
        <v>398</v>
      </c>
      <c r="D217" s="15">
        <v>40603</v>
      </c>
      <c r="E217" s="14"/>
      <c r="F217" s="14"/>
      <c r="G217" s="14"/>
      <c r="H217" s="10"/>
      <c r="I217" s="10"/>
      <c r="J217" s="10"/>
      <c r="K217" s="10"/>
      <c r="L217" s="10"/>
      <c r="M217" s="14"/>
      <c r="N217" s="14"/>
      <c r="O217" s="14"/>
      <c r="P217" s="14"/>
    </row>
    <row r="218" spans="1:16" ht="14.4">
      <c r="A218" s="14" t="s">
        <v>399</v>
      </c>
      <c r="B218" s="14" t="s">
        <v>400</v>
      </c>
      <c r="C218" s="19" t="str">
        <f>HYPERLINK("mailto:carla14_sch@hotmail.com","carla14_sch@hotmail.com")</f>
        <v>carla14_sch@hotmail.com</v>
      </c>
      <c r="D218" s="15">
        <v>41579</v>
      </c>
      <c r="E218" s="14"/>
      <c r="F218" s="14"/>
      <c r="G218" s="14"/>
      <c r="H218" s="10"/>
      <c r="I218" s="10"/>
      <c r="J218" s="10"/>
      <c r="K218" s="10"/>
      <c r="L218" s="10"/>
      <c r="M218" s="14"/>
      <c r="N218" s="14"/>
      <c r="O218" s="14"/>
      <c r="P218" s="14"/>
    </row>
    <row r="219" spans="1:16" ht="14.4">
      <c r="A219" s="6" t="s">
        <v>401</v>
      </c>
      <c r="B219" s="7"/>
      <c r="C219" s="6"/>
      <c r="H219" s="9"/>
      <c r="I219" s="11"/>
      <c r="J219" s="11"/>
      <c r="K219" s="11"/>
      <c r="L219" s="11"/>
    </row>
    <row r="220" spans="1:16" ht="14.4">
      <c r="A220" s="7" t="s">
        <v>402</v>
      </c>
      <c r="B220" s="7"/>
      <c r="C220" s="7" t="s">
        <v>403</v>
      </c>
      <c r="H220" s="17" t="s">
        <v>20</v>
      </c>
      <c r="I220" s="11"/>
      <c r="J220" s="11"/>
      <c r="K220" s="11"/>
      <c r="L220" s="11"/>
    </row>
    <row r="221" spans="1:16" ht="14.4">
      <c r="A221" s="6" t="s">
        <v>402</v>
      </c>
      <c r="B221" s="7"/>
      <c r="C221" s="6"/>
      <c r="H221" s="9" t="s">
        <v>49</v>
      </c>
      <c r="I221" s="10" t="s">
        <v>50</v>
      </c>
      <c r="J221" s="11"/>
      <c r="K221" s="11"/>
      <c r="L221" s="11"/>
    </row>
    <row r="222" spans="1:16" ht="14.4">
      <c r="A222" s="6" t="s">
        <v>402</v>
      </c>
      <c r="B222" s="7"/>
      <c r="C222" s="6"/>
      <c r="H222" s="9"/>
      <c r="I222" s="11"/>
      <c r="J222" s="10" t="s">
        <v>51</v>
      </c>
      <c r="K222" s="11"/>
      <c r="L222" s="11"/>
    </row>
    <row r="223" spans="1:16" ht="14.4">
      <c r="A223" s="14" t="s">
        <v>404</v>
      </c>
      <c r="B223" s="13" t="s">
        <v>405</v>
      </c>
      <c r="C223" s="14" t="s">
        <v>406</v>
      </c>
      <c r="D223" s="14"/>
      <c r="E223" s="14"/>
      <c r="F223" s="15">
        <v>41122</v>
      </c>
      <c r="G223" s="14"/>
      <c r="H223" s="10"/>
      <c r="I223" s="10"/>
      <c r="J223" s="10"/>
      <c r="K223" s="10"/>
      <c r="L223" s="10"/>
      <c r="M223" s="14"/>
      <c r="N223" s="14"/>
      <c r="O223" s="14"/>
    </row>
    <row r="224" spans="1:16" ht="14.4">
      <c r="A224" s="6" t="s">
        <v>407</v>
      </c>
      <c r="B224" s="27" t="s">
        <v>408</v>
      </c>
      <c r="C224" s="18" t="s">
        <v>409</v>
      </c>
      <c r="D224" s="14"/>
      <c r="E224" s="14"/>
      <c r="F224" s="14"/>
      <c r="G224" s="6"/>
      <c r="H224" s="9" t="s">
        <v>260</v>
      </c>
      <c r="I224" s="10" t="s">
        <v>212</v>
      </c>
      <c r="J224" s="10"/>
      <c r="K224" s="10"/>
      <c r="L224" s="10"/>
      <c r="P224" s="14"/>
    </row>
    <row r="225" spans="1:17" ht="14.4">
      <c r="A225" s="14" t="s">
        <v>410</v>
      </c>
      <c r="B225" s="13" t="s">
        <v>411</v>
      </c>
      <c r="C225" s="19" t="str">
        <f>HYPERLINK("mailto:carlos_ddiaz@yahoo.com.ar","carlos_ddiaz@yahoo.com.ar")</f>
        <v>carlos_ddiaz@yahoo.com.ar</v>
      </c>
      <c r="D225" s="15">
        <v>41000</v>
      </c>
      <c r="E225" s="14"/>
      <c r="F225" s="14"/>
      <c r="G225" s="14"/>
      <c r="H225" s="10"/>
      <c r="I225" s="10"/>
      <c r="J225" s="10"/>
      <c r="K225" s="10"/>
      <c r="L225" s="10"/>
      <c r="M225" s="14"/>
      <c r="N225" s="14"/>
      <c r="O225" s="14"/>
      <c r="P225" s="14"/>
    </row>
    <row r="226" spans="1:17" ht="14.4">
      <c r="A226" s="9" t="s">
        <v>412</v>
      </c>
      <c r="B226" s="8">
        <v>1150968679</v>
      </c>
      <c r="C226" s="6" t="s">
        <v>413</v>
      </c>
      <c r="H226" s="9" t="s">
        <v>94</v>
      </c>
      <c r="I226" s="11"/>
      <c r="J226" s="11"/>
      <c r="K226" s="11"/>
      <c r="L226" s="11"/>
    </row>
    <row r="227" spans="1:17" ht="14.4">
      <c r="A227" s="9" t="s">
        <v>412</v>
      </c>
      <c r="B227" s="7"/>
      <c r="C227" s="6"/>
      <c r="H227" s="9" t="s">
        <v>94</v>
      </c>
      <c r="I227" s="11"/>
      <c r="J227" s="11"/>
      <c r="K227" s="11"/>
      <c r="L227" s="11"/>
    </row>
    <row r="228" spans="1:17" ht="14.4">
      <c r="A228" s="6" t="s">
        <v>414</v>
      </c>
      <c r="B228" s="7"/>
      <c r="C228" s="7"/>
      <c r="H228" s="9" t="s">
        <v>82</v>
      </c>
      <c r="I228" s="11"/>
      <c r="J228" s="11"/>
      <c r="K228" s="11"/>
      <c r="L228" s="11"/>
    </row>
    <row r="229" spans="1:17" ht="14.4">
      <c r="A229" s="14" t="s">
        <v>415</v>
      </c>
      <c r="B229" s="14" t="s">
        <v>416</v>
      </c>
      <c r="C229" s="19" t="str">
        <f>HYPERLINK("mailto:cmolanes@gmail.com","cmolanes@gmail.com")</f>
        <v>cmolanes@gmail.com</v>
      </c>
      <c r="D229" s="15">
        <v>41334</v>
      </c>
      <c r="E229" s="14"/>
      <c r="F229" s="15">
        <v>41426</v>
      </c>
      <c r="G229" s="15">
        <v>41760</v>
      </c>
      <c r="H229" s="20">
        <v>41699</v>
      </c>
      <c r="I229" s="10"/>
      <c r="J229" s="10"/>
      <c r="K229" s="10"/>
      <c r="L229" s="10"/>
      <c r="M229" s="14"/>
      <c r="N229" s="14"/>
      <c r="O229" s="14"/>
      <c r="P229" s="14"/>
    </row>
    <row r="230" spans="1:17" ht="14.4">
      <c r="A230" s="6" t="s">
        <v>417</v>
      </c>
      <c r="B230" s="7"/>
      <c r="C230" s="6"/>
      <c r="H230" s="9"/>
      <c r="I230" s="11"/>
      <c r="J230" s="11"/>
      <c r="K230" s="11"/>
      <c r="L230" s="11"/>
      <c r="P230" s="7" t="s">
        <v>49</v>
      </c>
    </row>
    <row r="231" spans="1:17" ht="14.4">
      <c r="A231" s="13" t="s">
        <v>418</v>
      </c>
      <c r="B231" s="13" t="s">
        <v>419</v>
      </c>
      <c r="C231" s="13" t="s">
        <v>420</v>
      </c>
      <c r="D231" s="15">
        <v>41852</v>
      </c>
      <c r="E231" s="14"/>
      <c r="F231" s="14"/>
      <c r="G231" s="14"/>
      <c r="H231" s="10"/>
      <c r="I231" s="10"/>
      <c r="J231" s="10"/>
      <c r="K231" s="10"/>
      <c r="L231" s="10"/>
      <c r="M231" s="14"/>
      <c r="N231" s="14"/>
      <c r="O231" s="14"/>
      <c r="P231" s="14"/>
    </row>
    <row r="232" spans="1:17" ht="14.4">
      <c r="A232" s="6" t="s">
        <v>421</v>
      </c>
      <c r="B232" s="7"/>
      <c r="C232" s="6"/>
      <c r="H232" s="9" t="s">
        <v>49</v>
      </c>
      <c r="I232" s="11"/>
      <c r="J232" s="11"/>
      <c r="K232" s="11"/>
      <c r="L232" s="11"/>
    </row>
    <row r="233" spans="1:17" ht="14.4">
      <c r="A233" s="45" t="s">
        <v>422</v>
      </c>
      <c r="B233" s="45">
        <v>1531801266</v>
      </c>
      <c r="C233" s="45" t="s">
        <v>423</v>
      </c>
      <c r="D233" s="14"/>
      <c r="E233" s="15">
        <v>41913</v>
      </c>
      <c r="F233" s="14"/>
      <c r="G233" s="14"/>
      <c r="H233" s="10"/>
      <c r="I233" s="10"/>
      <c r="J233" s="10"/>
      <c r="K233" s="10"/>
      <c r="L233" s="10"/>
      <c r="M233" s="15"/>
      <c r="N233" s="14"/>
      <c r="O233" s="14"/>
      <c r="P233" s="14"/>
    </row>
    <row r="234" spans="1:17" ht="14.4">
      <c r="A234" s="14" t="s">
        <v>424</v>
      </c>
      <c r="B234" s="13" t="s">
        <v>425</v>
      </c>
      <c r="C234" s="14" t="s">
        <v>426</v>
      </c>
      <c r="D234" s="15">
        <v>42186</v>
      </c>
      <c r="E234" s="14"/>
      <c r="F234" s="14"/>
      <c r="G234" s="14"/>
      <c r="H234" s="10"/>
      <c r="I234" s="10"/>
      <c r="J234" s="10"/>
      <c r="K234" s="10"/>
      <c r="L234" s="10"/>
      <c r="M234" s="14"/>
      <c r="N234" s="14"/>
      <c r="O234" s="14"/>
    </row>
    <row r="235" spans="1:17" ht="14.4">
      <c r="A235" s="6" t="s">
        <v>427</v>
      </c>
      <c r="B235" s="29" t="s">
        <v>428</v>
      </c>
      <c r="C235" s="54" t="s">
        <v>429</v>
      </c>
      <c r="H235" s="22"/>
      <c r="I235" s="11"/>
      <c r="J235" s="11"/>
      <c r="K235" s="11" t="s">
        <v>110</v>
      </c>
      <c r="L235" s="11"/>
    </row>
    <row r="236" spans="1:17" ht="14.4">
      <c r="A236" s="6" t="s">
        <v>430</v>
      </c>
      <c r="B236" s="7"/>
      <c r="C236" s="6"/>
      <c r="H236" s="9"/>
      <c r="I236" s="11"/>
      <c r="J236" s="11"/>
      <c r="K236" s="11"/>
      <c r="L236" s="11"/>
      <c r="Q236" s="16">
        <v>45985</v>
      </c>
    </row>
    <row r="237" spans="1:17" ht="14.4">
      <c r="A237" s="14" t="s">
        <v>431</v>
      </c>
      <c r="B237" s="14" t="s">
        <v>432</v>
      </c>
      <c r="C237" s="14" t="s">
        <v>433</v>
      </c>
      <c r="D237" s="14"/>
      <c r="E237" s="14"/>
      <c r="F237" s="15">
        <v>41000</v>
      </c>
      <c r="G237" s="14"/>
      <c r="H237" s="10"/>
      <c r="I237" s="10"/>
      <c r="J237" s="10"/>
      <c r="K237" s="10"/>
      <c r="L237" s="10"/>
      <c r="M237" s="14"/>
      <c r="N237" s="14"/>
      <c r="O237" s="14"/>
      <c r="P237" s="14"/>
    </row>
    <row r="238" spans="1:17" ht="14.4">
      <c r="A238" s="7" t="s">
        <v>434</v>
      </c>
      <c r="B238" s="32">
        <v>1166583583</v>
      </c>
      <c r="C238" s="7" t="s">
        <v>435</v>
      </c>
      <c r="D238" s="21" t="s">
        <v>71</v>
      </c>
      <c r="H238" s="22"/>
      <c r="I238" s="11"/>
      <c r="J238" s="11"/>
      <c r="K238" s="11"/>
      <c r="L238" s="11"/>
      <c r="P238" s="14"/>
    </row>
    <row r="239" spans="1:17" ht="14.4">
      <c r="A239" s="9" t="s">
        <v>436</v>
      </c>
      <c r="B239" s="7"/>
      <c r="C239" s="7"/>
      <c r="H239" s="9" t="s">
        <v>82</v>
      </c>
      <c r="I239" s="11"/>
      <c r="J239" s="11"/>
      <c r="K239" s="11"/>
      <c r="L239" s="11"/>
    </row>
    <row r="240" spans="1:17" ht="14.4">
      <c r="A240" s="14" t="s">
        <v>437</v>
      </c>
      <c r="B240" s="13" t="s">
        <v>438</v>
      </c>
      <c r="C240" s="19" t="str">
        <f>HYPERLINK("mailto:carmi-rios@hotmail.com","carmi-rios@hotmail.com")</f>
        <v>carmi-rios@hotmail.com</v>
      </c>
      <c r="D240" s="14"/>
      <c r="E240" s="14"/>
      <c r="F240" s="15">
        <v>40756</v>
      </c>
      <c r="G240" s="14"/>
      <c r="H240" s="10"/>
      <c r="I240" s="10"/>
      <c r="J240" s="10"/>
      <c r="K240" s="10"/>
      <c r="L240" s="10"/>
      <c r="M240" s="14"/>
      <c r="N240" s="14"/>
      <c r="O240" s="14"/>
      <c r="P240" s="14"/>
    </row>
    <row r="241" spans="1:16" ht="14.4">
      <c r="A241" s="9" t="s">
        <v>439</v>
      </c>
      <c r="B241" s="7"/>
      <c r="C241" s="6" t="s">
        <v>440</v>
      </c>
      <c r="H241" s="22"/>
      <c r="I241" s="11" t="s">
        <v>247</v>
      </c>
      <c r="J241" s="11"/>
      <c r="K241" s="11"/>
      <c r="L241" s="11"/>
    </row>
    <row r="242" spans="1:16" ht="14.4">
      <c r="A242" s="10" t="s">
        <v>441</v>
      </c>
      <c r="B242" s="13">
        <v>2215999685</v>
      </c>
      <c r="C242" s="14" t="s">
        <v>442</v>
      </c>
      <c r="H242" s="30" t="s">
        <v>73</v>
      </c>
      <c r="I242" s="10" t="s">
        <v>215</v>
      </c>
      <c r="J242" s="10"/>
      <c r="K242" s="10"/>
      <c r="L242" s="10"/>
      <c r="P242" s="14"/>
    </row>
    <row r="243" spans="1:16" ht="14.4">
      <c r="A243" s="6" t="s">
        <v>443</v>
      </c>
      <c r="B243" s="7"/>
      <c r="C243" s="6"/>
      <c r="H243" s="9" t="s">
        <v>29</v>
      </c>
      <c r="I243" s="11"/>
      <c r="J243" s="11"/>
      <c r="K243" s="11"/>
      <c r="L243" s="11"/>
    </row>
    <row r="244" spans="1:16" ht="14.4">
      <c r="A244" s="6" t="s">
        <v>443</v>
      </c>
      <c r="B244" s="7"/>
      <c r="C244" s="6"/>
      <c r="H244" s="9"/>
      <c r="I244" s="10" t="s">
        <v>30</v>
      </c>
      <c r="J244" s="11"/>
      <c r="K244" s="11"/>
      <c r="L244" s="11"/>
    </row>
    <row r="245" spans="1:16" ht="14.4">
      <c r="A245" s="6" t="s">
        <v>443</v>
      </c>
      <c r="B245" s="7"/>
      <c r="C245" s="6"/>
      <c r="H245" s="9"/>
      <c r="I245" s="11"/>
      <c r="J245" s="10" t="s">
        <v>31</v>
      </c>
      <c r="K245" s="11"/>
      <c r="L245" s="11"/>
    </row>
    <row r="246" spans="1:16" ht="14.4">
      <c r="A246" s="6" t="s">
        <v>443</v>
      </c>
      <c r="B246" s="7"/>
      <c r="C246" s="6"/>
      <c r="H246" s="9"/>
      <c r="I246" s="11"/>
      <c r="J246" s="11"/>
      <c r="K246" s="10" t="s">
        <v>49</v>
      </c>
      <c r="L246" s="11"/>
    </row>
    <row r="247" spans="1:16" ht="14.4">
      <c r="A247" s="14" t="s">
        <v>444</v>
      </c>
      <c r="B247" s="14" t="s">
        <v>445</v>
      </c>
      <c r="C247" s="19" t="str">
        <f>HYPERLINK("mailto:carolinacoppola@hotmail.com","carolinacoppola@hotmail.com")</f>
        <v>carolinacoppola@hotmail.com</v>
      </c>
      <c r="D247" s="15">
        <v>40664</v>
      </c>
      <c r="E247" s="14"/>
      <c r="F247" s="15">
        <v>40756</v>
      </c>
      <c r="G247" s="14"/>
      <c r="H247" s="10"/>
      <c r="I247" s="10"/>
      <c r="J247" s="10"/>
      <c r="K247" s="10"/>
      <c r="L247" s="10"/>
      <c r="M247" s="14"/>
      <c r="N247" s="14"/>
      <c r="O247" s="14"/>
      <c r="P247" s="14"/>
    </row>
    <row r="248" spans="1:16" ht="14.4">
      <c r="A248" s="6" t="s">
        <v>446</v>
      </c>
      <c r="B248" s="62">
        <v>1562679328</v>
      </c>
      <c r="C248" s="62" t="s">
        <v>447</v>
      </c>
      <c r="H248" s="23" t="s">
        <v>132</v>
      </c>
      <c r="I248" s="63"/>
      <c r="J248" s="63"/>
      <c r="K248" s="63"/>
      <c r="L248" s="63"/>
      <c r="P248" s="14"/>
    </row>
    <row r="249" spans="1:16" ht="14.4">
      <c r="A249" s="14" t="s">
        <v>448</v>
      </c>
      <c r="B249" s="14" t="s">
        <v>449</v>
      </c>
      <c r="C249" s="19" t="str">
        <f>HYPERLINK("mailto:carogoodacre@gmail.com","carogoodacre@gmail.com")</f>
        <v>carogoodacre@gmail.com</v>
      </c>
      <c r="D249" s="15">
        <v>41579</v>
      </c>
      <c r="E249" s="14"/>
      <c r="F249" s="14"/>
      <c r="G249" s="14"/>
      <c r="H249" s="10"/>
      <c r="I249" s="10"/>
      <c r="J249" s="10"/>
      <c r="K249" s="10"/>
      <c r="L249" s="10"/>
      <c r="M249" s="14"/>
      <c r="N249" s="14"/>
      <c r="O249" s="14"/>
      <c r="P249" s="14"/>
    </row>
    <row r="250" spans="1:16" ht="15.75" customHeight="1">
      <c r="A250" s="53" t="s">
        <v>450</v>
      </c>
      <c r="B250" s="62">
        <v>1522557665</v>
      </c>
      <c r="C250" s="53" t="s">
        <v>451</v>
      </c>
      <c r="D250" s="21" t="s">
        <v>355</v>
      </c>
      <c r="H250" s="22"/>
      <c r="I250" s="11"/>
      <c r="J250" s="11"/>
      <c r="K250" s="11"/>
      <c r="L250" s="11"/>
      <c r="P250" s="14"/>
    </row>
    <row r="251" spans="1:16" ht="14.4">
      <c r="A251" s="6" t="s">
        <v>452</v>
      </c>
      <c r="B251" s="7"/>
      <c r="C251" s="7"/>
      <c r="H251" s="9" t="s">
        <v>123</v>
      </c>
      <c r="I251" s="9" t="s">
        <v>123</v>
      </c>
      <c r="J251" s="11"/>
      <c r="K251" s="11"/>
      <c r="L251" s="11"/>
    </row>
    <row r="252" spans="1:16" ht="14.4">
      <c r="A252" s="14" t="s">
        <v>453</v>
      </c>
      <c r="B252" s="14" t="s">
        <v>454</v>
      </c>
      <c r="C252" s="14" t="s">
        <v>455</v>
      </c>
      <c r="D252" s="14"/>
      <c r="E252" s="14"/>
      <c r="F252" s="15">
        <v>41122</v>
      </c>
      <c r="G252" s="14"/>
      <c r="H252" s="10"/>
      <c r="I252" s="10"/>
      <c r="J252" s="10"/>
      <c r="K252" s="10"/>
      <c r="L252" s="10"/>
      <c r="M252" s="14"/>
      <c r="N252" s="14"/>
      <c r="O252" s="14"/>
      <c r="P252" s="14"/>
    </row>
    <row r="253" spans="1:16" ht="14.4">
      <c r="A253" s="14" t="s">
        <v>456</v>
      </c>
      <c r="B253" s="13">
        <v>1568837788</v>
      </c>
      <c r="C253" s="19" t="str">
        <f>HYPERLINK("mailto:cromoavro@gmail.com","cromoavro@gmail.com")</f>
        <v>cromoavro@gmail.com</v>
      </c>
      <c r="D253" s="15">
        <v>41395</v>
      </c>
      <c r="E253" s="14"/>
      <c r="F253" s="14"/>
      <c r="G253" s="14"/>
      <c r="H253" s="10"/>
      <c r="I253" s="10"/>
      <c r="J253" s="10"/>
      <c r="K253" s="10"/>
      <c r="L253" s="10"/>
      <c r="M253" s="14"/>
      <c r="N253" s="14"/>
      <c r="O253" s="14"/>
      <c r="P253" s="14"/>
    </row>
    <row r="254" spans="1:16" ht="14.4">
      <c r="A254" s="6" t="s">
        <v>457</v>
      </c>
      <c r="B254" s="7"/>
      <c r="C254" s="7"/>
      <c r="H254" s="9"/>
      <c r="I254" s="11"/>
      <c r="J254" s="10" t="s">
        <v>163</v>
      </c>
      <c r="K254" s="11"/>
      <c r="L254" s="11"/>
    </row>
    <row r="255" spans="1:16" ht="14.4">
      <c r="A255" s="14" t="s">
        <v>458</v>
      </c>
      <c r="B255" s="13">
        <v>1540840961</v>
      </c>
      <c r="C255" s="64" t="s">
        <v>459</v>
      </c>
      <c r="D255" s="14"/>
      <c r="E255" s="14"/>
      <c r="F255" s="14"/>
      <c r="G255" s="14"/>
      <c r="H255" s="10"/>
      <c r="I255" s="10"/>
      <c r="J255" s="10"/>
      <c r="K255" s="10"/>
      <c r="L255" s="10"/>
      <c r="M255" s="14"/>
      <c r="N255" s="14"/>
      <c r="O255" s="14"/>
      <c r="P255" s="14"/>
    </row>
    <row r="256" spans="1:16" ht="14.4">
      <c r="A256" s="6" t="s">
        <v>460</v>
      </c>
      <c r="B256" s="7"/>
      <c r="C256" s="6"/>
      <c r="H256" s="9" t="s">
        <v>49</v>
      </c>
      <c r="I256" s="10" t="s">
        <v>50</v>
      </c>
      <c r="J256" s="11"/>
      <c r="K256" s="11"/>
      <c r="L256" s="11"/>
    </row>
    <row r="257" spans="1:16" ht="14.4">
      <c r="A257" s="6" t="s">
        <v>460</v>
      </c>
      <c r="B257" s="7"/>
      <c r="C257" s="6"/>
      <c r="H257" s="9"/>
      <c r="I257" s="11"/>
      <c r="J257" s="10" t="s">
        <v>51</v>
      </c>
      <c r="K257" s="10"/>
      <c r="L257" s="11"/>
    </row>
    <row r="258" spans="1:16" ht="14.4">
      <c r="A258" s="14" t="s">
        <v>461</v>
      </c>
      <c r="B258" s="14"/>
      <c r="C258" s="14" t="s">
        <v>462</v>
      </c>
      <c r="D258" s="14"/>
      <c r="E258" s="15">
        <v>41671</v>
      </c>
      <c r="F258" s="14"/>
      <c r="G258" s="14"/>
      <c r="H258" s="10"/>
      <c r="I258" s="10"/>
      <c r="J258" s="10"/>
      <c r="K258" s="10"/>
      <c r="L258" s="10"/>
      <c r="M258" s="14"/>
      <c r="N258" s="14"/>
      <c r="O258" s="14"/>
      <c r="P258" s="14"/>
    </row>
    <row r="259" spans="1:16" ht="14.4">
      <c r="A259" s="6" t="s">
        <v>463</v>
      </c>
      <c r="B259" s="33">
        <v>1544797124</v>
      </c>
      <c r="C259" s="33" t="s">
        <v>464</v>
      </c>
      <c r="D259" s="49">
        <v>43421</v>
      </c>
      <c r="E259" s="14"/>
      <c r="F259" s="14"/>
      <c r="G259" s="6"/>
      <c r="H259" s="9"/>
      <c r="I259" s="10"/>
      <c r="J259" s="10"/>
      <c r="K259" s="10"/>
      <c r="L259" s="10"/>
      <c r="P259" s="14"/>
    </row>
    <row r="260" spans="1:16" ht="14.4">
      <c r="A260" s="6" t="s">
        <v>465</v>
      </c>
      <c r="B260" s="7"/>
      <c r="C260" s="7"/>
      <c r="H260" s="9" t="s">
        <v>82</v>
      </c>
      <c r="I260" s="11"/>
      <c r="J260" s="11"/>
      <c r="K260" s="11"/>
      <c r="L260" s="11"/>
    </row>
    <row r="261" spans="1:16" ht="14.4">
      <c r="A261" s="14" t="s">
        <v>466</v>
      </c>
      <c r="B261" s="47" t="s">
        <v>467</v>
      </c>
      <c r="C261" s="19" t="str">
        <f>HYPERLINK("mailto:ce_agostinis@hotmail.com","ce_agostinis@hotmail.com")</f>
        <v>ce_agostinis@hotmail.com</v>
      </c>
      <c r="D261" s="14"/>
      <c r="E261" s="15">
        <v>41275</v>
      </c>
      <c r="F261" s="14"/>
      <c r="G261" s="14"/>
      <c r="H261" s="10"/>
      <c r="I261" s="10"/>
      <c r="J261" s="10"/>
      <c r="K261" s="10"/>
      <c r="L261" s="10"/>
      <c r="M261" s="14"/>
      <c r="N261" s="14"/>
      <c r="O261" s="14"/>
      <c r="P261" s="14"/>
    </row>
    <row r="262" spans="1:16" ht="14.4">
      <c r="A262" s="14" t="s">
        <v>468</v>
      </c>
      <c r="B262" s="14" t="s">
        <v>469</v>
      </c>
      <c r="C262" s="19" t="str">
        <f>HYPERLINK("mailto:ceciliacarrio@hotmail.com","ceciliacarrio@hotmail.com")</f>
        <v>ceciliacarrio@hotmail.com</v>
      </c>
      <c r="D262" s="14"/>
      <c r="E262" s="14"/>
      <c r="F262" s="14"/>
      <c r="G262" s="14"/>
      <c r="H262" s="20">
        <v>41365</v>
      </c>
      <c r="I262" s="20">
        <v>41609</v>
      </c>
      <c r="J262" s="20"/>
      <c r="K262" s="20"/>
      <c r="L262" s="20"/>
      <c r="M262" s="14"/>
      <c r="N262" s="14">
        <v>2015</v>
      </c>
      <c r="O262" s="14"/>
      <c r="P262" s="14"/>
    </row>
    <row r="263" spans="1:16" ht="14.4">
      <c r="A263" s="6" t="s">
        <v>470</v>
      </c>
      <c r="B263" s="7"/>
      <c r="C263" s="6"/>
      <c r="H263" s="9"/>
      <c r="I263" s="11"/>
      <c r="J263" s="41">
        <v>45954</v>
      </c>
      <c r="K263" s="11"/>
      <c r="L263" s="11"/>
    </row>
    <row r="264" spans="1:16" ht="14.4">
      <c r="A264" s="14" t="s">
        <v>471</v>
      </c>
      <c r="B264" s="14"/>
      <c r="C264" s="19" t="str">
        <f>HYPERLINK("mailto:cecilia.colines@claro.com.ar","cecilia.colines@claro.com.ar")</f>
        <v>cecilia.colines@claro.com.ar</v>
      </c>
      <c r="D264" s="14"/>
      <c r="E264" s="14"/>
      <c r="F264" s="14"/>
      <c r="G264" s="14"/>
      <c r="H264" s="10"/>
      <c r="I264" s="10"/>
      <c r="J264" s="10"/>
      <c r="K264" s="10"/>
      <c r="L264" s="10"/>
      <c r="M264" s="14"/>
      <c r="N264" s="14"/>
      <c r="O264" s="14"/>
      <c r="P264" s="14"/>
    </row>
    <row r="265" spans="1:16" ht="14.4">
      <c r="A265" s="14" t="s">
        <v>472</v>
      </c>
      <c r="B265" s="14" t="s">
        <v>473</v>
      </c>
      <c r="C265" s="14" t="s">
        <v>474</v>
      </c>
      <c r="D265" s="15">
        <v>41061</v>
      </c>
      <c r="E265" s="14"/>
      <c r="F265" s="15">
        <v>41153</v>
      </c>
      <c r="G265" s="14"/>
      <c r="H265" s="10"/>
      <c r="I265" s="10"/>
      <c r="J265" s="10"/>
      <c r="K265" s="10"/>
      <c r="L265" s="10"/>
      <c r="M265" s="14"/>
      <c r="N265" s="14"/>
      <c r="O265" s="14"/>
      <c r="P265" s="14"/>
    </row>
    <row r="266" spans="1:16" ht="14.4">
      <c r="A266" s="6" t="s">
        <v>475</v>
      </c>
      <c r="B266" s="8">
        <v>92994066119</v>
      </c>
      <c r="C266" s="6" t="s">
        <v>476</v>
      </c>
      <c r="H266" s="43" t="s">
        <v>143</v>
      </c>
      <c r="I266" s="11"/>
      <c r="J266" s="11"/>
      <c r="K266" s="11"/>
      <c r="L266" s="11"/>
    </row>
    <row r="267" spans="1:16" ht="14.4">
      <c r="A267" s="6" t="s">
        <v>477</v>
      </c>
      <c r="B267" s="8">
        <v>1132861499</v>
      </c>
      <c r="C267" s="6" t="s">
        <v>478</v>
      </c>
      <c r="H267" s="22"/>
      <c r="I267" s="11"/>
      <c r="J267" s="11"/>
      <c r="K267" s="11"/>
      <c r="L267" s="11"/>
      <c r="P267" s="12" t="s">
        <v>194</v>
      </c>
    </row>
    <row r="268" spans="1:16" ht="14.4">
      <c r="A268" s="14" t="s">
        <v>479</v>
      </c>
      <c r="B268" s="14" t="s">
        <v>480</v>
      </c>
      <c r="C268" s="14" t="s">
        <v>481</v>
      </c>
      <c r="D268" s="15">
        <v>41730</v>
      </c>
      <c r="E268" s="14"/>
      <c r="F268" s="14"/>
      <c r="G268" s="14"/>
      <c r="H268" s="10"/>
      <c r="I268" s="10"/>
      <c r="J268" s="10"/>
      <c r="K268" s="10"/>
      <c r="L268" s="10"/>
      <c r="M268" s="14"/>
      <c r="N268" s="14"/>
      <c r="O268" s="14"/>
      <c r="P268" s="14"/>
    </row>
    <row r="269" spans="1:16" ht="14.4">
      <c r="A269" s="7" t="s">
        <v>482</v>
      </c>
      <c r="B269" s="38">
        <v>1553074282</v>
      </c>
      <c r="C269" s="26" t="s">
        <v>483</v>
      </c>
      <c r="D269" s="65">
        <v>43238</v>
      </c>
      <c r="H269" s="22"/>
      <c r="I269" s="11"/>
      <c r="J269" s="11"/>
      <c r="K269" s="11"/>
      <c r="L269" s="11"/>
      <c r="P269" s="14"/>
    </row>
    <row r="270" spans="1:16" ht="14.4">
      <c r="A270" s="6" t="s">
        <v>484</v>
      </c>
      <c r="B270" s="7"/>
      <c r="C270" s="7"/>
      <c r="H270" s="9"/>
      <c r="I270" s="11"/>
      <c r="J270" s="11"/>
      <c r="K270" s="11" t="s">
        <v>22</v>
      </c>
      <c r="L270" s="11"/>
    </row>
    <row r="271" spans="1:16" ht="14.4">
      <c r="A271" s="6" t="s">
        <v>485</v>
      </c>
      <c r="B271" s="7"/>
      <c r="C271" s="6"/>
      <c r="H271" s="9" t="s">
        <v>30</v>
      </c>
      <c r="I271" s="10" t="s">
        <v>31</v>
      </c>
      <c r="J271" s="11"/>
      <c r="K271" s="11"/>
      <c r="L271" s="11"/>
    </row>
    <row r="272" spans="1:16" ht="14.4">
      <c r="A272" s="6" t="s">
        <v>486</v>
      </c>
      <c r="B272" s="33">
        <v>1159954453</v>
      </c>
      <c r="C272" s="18" t="s">
        <v>487</v>
      </c>
      <c r="D272" s="14"/>
      <c r="E272" s="14"/>
      <c r="F272" s="14"/>
      <c r="G272" s="6"/>
      <c r="H272" s="30" t="s">
        <v>235</v>
      </c>
      <c r="I272" s="23" t="s">
        <v>236</v>
      </c>
      <c r="J272" s="10"/>
      <c r="K272" s="10"/>
      <c r="L272" s="10"/>
      <c r="P272" s="14"/>
    </row>
    <row r="273" spans="1:17" ht="14.4">
      <c r="A273" s="7" t="s">
        <v>488</v>
      </c>
      <c r="B273" s="7" t="s">
        <v>489</v>
      </c>
      <c r="C273" s="7" t="s">
        <v>490</v>
      </c>
      <c r="H273" s="66">
        <v>43238</v>
      </c>
      <c r="I273" s="11"/>
      <c r="J273" s="11"/>
      <c r="K273" s="11"/>
      <c r="L273" s="11"/>
      <c r="P273" s="14"/>
    </row>
    <row r="274" spans="1:17" ht="14.4">
      <c r="A274" s="13" t="s">
        <v>491</v>
      </c>
      <c r="B274" s="13">
        <v>1563653494</v>
      </c>
      <c r="C274" s="58" t="s">
        <v>492</v>
      </c>
      <c r="D274" s="15">
        <v>40817</v>
      </c>
      <c r="E274" s="14"/>
      <c r="F274" s="14"/>
      <c r="G274" s="14"/>
      <c r="H274" s="10"/>
      <c r="I274" s="10"/>
      <c r="J274" s="10"/>
      <c r="K274" s="10"/>
      <c r="L274" s="10"/>
      <c r="M274" s="14"/>
      <c r="N274" s="14"/>
      <c r="O274" s="14"/>
      <c r="P274" s="14"/>
    </row>
    <row r="275" spans="1:17" ht="14.4">
      <c r="A275" s="61" t="s">
        <v>493</v>
      </c>
      <c r="B275" s="7"/>
      <c r="C275" s="6" t="s">
        <v>494</v>
      </c>
      <c r="H275" s="9" t="s">
        <v>159</v>
      </c>
      <c r="I275" s="9" t="s">
        <v>75</v>
      </c>
      <c r="J275" s="11"/>
      <c r="K275" s="11"/>
      <c r="L275" s="11"/>
    </row>
    <row r="276" spans="1:17" ht="14.4">
      <c r="A276" s="6" t="s">
        <v>495</v>
      </c>
      <c r="B276" s="7"/>
      <c r="C276" s="7"/>
      <c r="H276" s="9" t="s">
        <v>23</v>
      </c>
      <c r="I276" s="11"/>
      <c r="J276" s="11"/>
      <c r="K276" s="11"/>
      <c r="L276" s="11"/>
    </row>
    <row r="277" spans="1:17" ht="14.4">
      <c r="A277" s="14" t="s">
        <v>496</v>
      </c>
      <c r="B277" s="14" t="s">
        <v>497</v>
      </c>
      <c r="C277" s="19" t="str">
        <f>HYPERLINK("mailto:ceciavazquez@gmail.com","ceciavazquez@gmail.com")</f>
        <v>ceciavazquez@gmail.com</v>
      </c>
      <c r="D277" s="14"/>
      <c r="E277" s="14"/>
      <c r="F277" s="15">
        <v>41487</v>
      </c>
      <c r="G277" s="14"/>
      <c r="H277" s="10"/>
      <c r="I277" s="10"/>
      <c r="J277" s="10"/>
      <c r="K277" s="10"/>
      <c r="L277" s="10"/>
      <c r="M277" s="14"/>
      <c r="N277" s="14"/>
      <c r="O277" s="14"/>
      <c r="P277" s="14"/>
    </row>
    <row r="278" spans="1:17" ht="14.4">
      <c r="A278" s="6" t="s">
        <v>498</v>
      </c>
      <c r="B278" s="7"/>
      <c r="C278" s="6"/>
      <c r="H278" s="9"/>
      <c r="I278" s="11"/>
      <c r="J278" s="11"/>
      <c r="K278" s="11"/>
      <c r="L278" s="11"/>
      <c r="Q278" s="16">
        <v>45985</v>
      </c>
    </row>
    <row r="279" spans="1:17" ht="14.4">
      <c r="A279" s="7" t="s">
        <v>499</v>
      </c>
      <c r="B279" s="32">
        <v>1159364942</v>
      </c>
      <c r="C279" s="7" t="s">
        <v>500</v>
      </c>
      <c r="D279" s="21" t="s">
        <v>71</v>
      </c>
      <c r="H279" s="53" t="s">
        <v>220</v>
      </c>
      <c r="I279" s="11"/>
      <c r="J279" s="11"/>
      <c r="K279" s="11"/>
      <c r="L279" s="11"/>
      <c r="P279" s="14"/>
    </row>
    <row r="280" spans="1:17" ht="14.4">
      <c r="A280" s="14" t="s">
        <v>501</v>
      </c>
      <c r="B280" s="14" t="s">
        <v>502</v>
      </c>
      <c r="C280" s="19" t="str">
        <f>HYPERLINK("mailto:urreagaceleste@gmail.com","urreagaceleste@gmail.com")</f>
        <v>urreagaceleste@gmail.com</v>
      </c>
      <c r="D280" s="14"/>
      <c r="E280" s="14"/>
      <c r="F280" s="15">
        <v>41365</v>
      </c>
      <c r="G280" s="14"/>
      <c r="H280" s="10"/>
      <c r="I280" s="10"/>
      <c r="J280" s="10"/>
      <c r="K280" s="10"/>
      <c r="L280" s="10"/>
      <c r="M280" s="14"/>
      <c r="N280" s="14"/>
      <c r="O280" s="14"/>
      <c r="P280" s="14"/>
    </row>
    <row r="281" spans="1:17" ht="14.4">
      <c r="A281" s="14" t="s">
        <v>503</v>
      </c>
      <c r="B281" s="47" t="s">
        <v>504</v>
      </c>
      <c r="C281" s="19" t="str">
        <f>HYPERLINK("mailto:celinaavc-@hotmail.com","celinaavc-@hotmail.com")</f>
        <v>celinaavc-@hotmail.com</v>
      </c>
      <c r="D281" s="14"/>
      <c r="E281" s="15">
        <v>41275</v>
      </c>
      <c r="F281" s="15">
        <v>41760</v>
      </c>
      <c r="G281" s="15">
        <v>41852</v>
      </c>
      <c r="H281" s="20">
        <v>41365</v>
      </c>
      <c r="I281" s="20">
        <v>41609</v>
      </c>
      <c r="J281" s="20"/>
      <c r="K281" s="20"/>
      <c r="L281" s="20"/>
      <c r="M281" s="14"/>
      <c r="N281" s="14"/>
      <c r="O281" s="14"/>
      <c r="P281" s="14"/>
    </row>
    <row r="282" spans="1:17" ht="14.4">
      <c r="A282" s="6" t="s">
        <v>505</v>
      </c>
      <c r="B282" s="7"/>
      <c r="C282" s="7"/>
      <c r="H282" s="9" t="s">
        <v>82</v>
      </c>
      <c r="I282" s="11"/>
      <c r="J282" s="11"/>
      <c r="K282" s="11"/>
      <c r="L282" s="11"/>
    </row>
    <row r="283" spans="1:17" ht="14.4">
      <c r="A283" s="9" t="s">
        <v>505</v>
      </c>
      <c r="B283" s="7"/>
      <c r="C283" s="7"/>
      <c r="H283" s="9"/>
      <c r="I283" s="35">
        <v>45713</v>
      </c>
      <c r="J283" s="11"/>
      <c r="K283" s="11"/>
      <c r="L283" s="11"/>
    </row>
    <row r="284" spans="1:17" ht="14.4">
      <c r="A284" s="44" t="s">
        <v>506</v>
      </c>
      <c r="B284" s="44" t="s">
        <v>507</v>
      </c>
      <c r="C284" s="19" t="str">
        <f>HYPERLINK("mailto:csierra397@gmail.com","csierra397@gmail.com")</f>
        <v>csierra397@gmail.com</v>
      </c>
      <c r="D284" s="14"/>
      <c r="E284" s="14"/>
      <c r="F284" s="14"/>
      <c r="G284" s="14"/>
      <c r="H284" s="10"/>
      <c r="I284" s="10"/>
      <c r="J284" s="10"/>
      <c r="K284" s="10"/>
      <c r="L284" s="10"/>
      <c r="M284" s="15">
        <v>42309</v>
      </c>
      <c r="N284" s="14"/>
      <c r="O284" s="14"/>
      <c r="P284" s="14"/>
    </row>
    <row r="285" spans="1:17" ht="14.4">
      <c r="A285" s="6" t="s">
        <v>508</v>
      </c>
      <c r="B285" s="7"/>
      <c r="C285" s="7"/>
      <c r="H285" s="9"/>
      <c r="I285" s="11"/>
      <c r="J285" s="11"/>
      <c r="K285" s="11"/>
      <c r="L285" s="11"/>
      <c r="Q285" s="16">
        <v>45713</v>
      </c>
    </row>
    <row r="286" spans="1:17" ht="14.4">
      <c r="A286" s="6" t="s">
        <v>509</v>
      </c>
      <c r="B286" s="7"/>
      <c r="C286" s="6"/>
      <c r="H286" s="9"/>
      <c r="I286" s="11"/>
      <c r="J286" s="11"/>
      <c r="K286" s="11"/>
      <c r="L286" s="11"/>
      <c r="P286" s="7" t="s">
        <v>49</v>
      </c>
    </row>
    <row r="287" spans="1:17" ht="14.4">
      <c r="A287" s="14" t="s">
        <v>510</v>
      </c>
      <c r="B287" s="14"/>
      <c r="C287" s="14" t="s">
        <v>511</v>
      </c>
      <c r="D287" s="14"/>
      <c r="E287" s="15">
        <v>41671</v>
      </c>
      <c r="F287" s="14"/>
      <c r="G287" s="14"/>
      <c r="H287" s="10"/>
      <c r="I287" s="10"/>
      <c r="J287" s="10"/>
      <c r="K287" s="10"/>
      <c r="L287" s="10"/>
      <c r="M287" s="14"/>
      <c r="N287" s="14"/>
      <c r="O287" s="14"/>
      <c r="P287" s="14"/>
    </row>
    <row r="288" spans="1:17" ht="14.4">
      <c r="A288" s="14" t="s">
        <v>512</v>
      </c>
      <c r="B288" s="14" t="s">
        <v>513</v>
      </c>
      <c r="C288" s="14" t="s">
        <v>514</v>
      </c>
      <c r="D288" s="14"/>
      <c r="E288" s="14"/>
      <c r="F288" s="14"/>
      <c r="G288" s="14"/>
      <c r="H288" s="20">
        <v>41699</v>
      </c>
      <c r="I288" s="10"/>
      <c r="J288" s="10"/>
      <c r="K288" s="10"/>
      <c r="L288" s="10"/>
      <c r="M288" s="14"/>
      <c r="N288" s="14">
        <v>2015</v>
      </c>
      <c r="O288" s="14"/>
      <c r="P288" s="14"/>
    </row>
    <row r="289" spans="1:16" ht="14.4">
      <c r="A289" s="14" t="s">
        <v>515</v>
      </c>
      <c r="B289" s="13">
        <v>1544406819</v>
      </c>
      <c r="C289" s="14" t="s">
        <v>516</v>
      </c>
      <c r="D289" s="21" t="s">
        <v>256</v>
      </c>
      <c r="E289" s="14"/>
      <c r="F289" s="14"/>
      <c r="G289" s="14"/>
      <c r="H289" s="10"/>
      <c r="I289" s="10"/>
      <c r="J289" s="10"/>
      <c r="K289" s="10"/>
      <c r="L289" s="10"/>
      <c r="M289" s="14"/>
      <c r="N289" s="14"/>
      <c r="O289" s="14"/>
      <c r="P289" s="14"/>
    </row>
    <row r="290" spans="1:16" ht="14.4">
      <c r="A290" s="6" t="s">
        <v>517</v>
      </c>
      <c r="B290" s="32"/>
      <c r="C290" s="33" t="s">
        <v>518</v>
      </c>
      <c r="E290" s="21" t="s">
        <v>132</v>
      </c>
      <c r="H290" s="22"/>
      <c r="I290" s="11"/>
      <c r="J290" s="11"/>
      <c r="K290" s="11"/>
      <c r="L290" s="11"/>
      <c r="P290" s="14"/>
    </row>
    <row r="291" spans="1:16" ht="14.4">
      <c r="A291" s="6" t="s">
        <v>519</v>
      </c>
      <c r="B291" s="7"/>
      <c r="C291" s="6"/>
      <c r="H291" s="9" t="s">
        <v>49</v>
      </c>
      <c r="I291" s="10" t="s">
        <v>50</v>
      </c>
      <c r="J291" s="11"/>
      <c r="K291" s="11"/>
      <c r="L291" s="11"/>
    </row>
    <row r="292" spans="1:16" ht="14.4">
      <c r="A292" s="6" t="s">
        <v>519</v>
      </c>
      <c r="B292" s="7"/>
      <c r="C292" s="6"/>
      <c r="H292" s="9"/>
      <c r="I292" s="11"/>
      <c r="J292" s="10" t="s">
        <v>51</v>
      </c>
      <c r="K292" s="11"/>
      <c r="L292" s="11"/>
    </row>
    <row r="293" spans="1:16" ht="14.4">
      <c r="A293" s="14" t="s">
        <v>520</v>
      </c>
      <c r="B293" s="14"/>
      <c r="C293" s="14" t="s">
        <v>521</v>
      </c>
      <c r="D293" s="14"/>
      <c r="E293" s="15">
        <v>41365</v>
      </c>
      <c r="F293" s="14"/>
      <c r="G293" s="14"/>
      <c r="H293" s="10"/>
      <c r="I293" s="10"/>
      <c r="J293" s="10"/>
      <c r="K293" s="10"/>
      <c r="L293" s="10"/>
      <c r="M293" s="14"/>
      <c r="N293" s="14"/>
      <c r="O293" s="14"/>
      <c r="P293" s="14"/>
    </row>
    <row r="294" spans="1:16" ht="14.4">
      <c r="A294" s="6" t="s">
        <v>522</v>
      </c>
      <c r="B294" s="30">
        <v>1165493170</v>
      </c>
      <c r="C294" s="9" t="s">
        <v>523</v>
      </c>
      <c r="D294" s="14" t="s">
        <v>100</v>
      </c>
      <c r="H294" s="22"/>
      <c r="I294" s="11"/>
      <c r="J294" s="11"/>
      <c r="K294" s="11"/>
      <c r="L294" s="11"/>
    </row>
    <row r="295" spans="1:16" ht="14.4">
      <c r="A295" s="14" t="s">
        <v>524</v>
      </c>
      <c r="B295" s="13">
        <v>1137648704</v>
      </c>
      <c r="C295" s="19" t="str">
        <f>HYPERLINK("mailto:a.kiara@hotmail.com","a.kiara@hotmail.com")</f>
        <v>a.kiara@hotmail.com</v>
      </c>
      <c r="D295" s="15">
        <v>41000</v>
      </c>
      <c r="E295" s="14"/>
      <c r="F295" s="15">
        <v>41122</v>
      </c>
      <c r="G295" s="15">
        <v>41760</v>
      </c>
      <c r="H295" s="20">
        <v>41275</v>
      </c>
      <c r="I295" s="10"/>
      <c r="J295" s="10"/>
      <c r="K295" s="10"/>
      <c r="L295" s="10"/>
      <c r="M295" s="14"/>
      <c r="N295" s="14"/>
      <c r="O295" s="14"/>
    </row>
    <row r="296" spans="1:16" ht="14.4">
      <c r="A296" s="6" t="s">
        <v>525</v>
      </c>
      <c r="B296" s="67">
        <v>1133811165</v>
      </c>
      <c r="C296" s="68" t="s">
        <v>526</v>
      </c>
      <c r="D296" s="14"/>
      <c r="E296" s="14"/>
      <c r="F296" s="14"/>
      <c r="G296" s="6"/>
      <c r="H296" s="9" t="s">
        <v>260</v>
      </c>
      <c r="I296" s="10" t="s">
        <v>212</v>
      </c>
      <c r="J296" s="17" t="s">
        <v>71</v>
      </c>
      <c r="K296" s="10"/>
      <c r="L296" s="10"/>
      <c r="P296" s="14"/>
    </row>
    <row r="297" spans="1:16" ht="14.4">
      <c r="A297" s="14" t="s">
        <v>527</v>
      </c>
      <c r="B297" s="14" t="s">
        <v>528</v>
      </c>
      <c r="C297" s="19" t="str">
        <f>HYPERLINK("mailto:haiachker@gmail.com","haiachker@gmail.com")</f>
        <v>haiachker@gmail.com</v>
      </c>
      <c r="D297" s="15">
        <v>41091</v>
      </c>
      <c r="E297" s="14"/>
      <c r="F297" s="15">
        <v>41487</v>
      </c>
      <c r="G297" s="14"/>
      <c r="H297" s="10"/>
      <c r="I297" s="10"/>
      <c r="J297" s="10"/>
      <c r="K297" s="10"/>
      <c r="L297" s="10"/>
      <c r="M297" s="14"/>
      <c r="N297" s="14"/>
      <c r="O297" s="14"/>
      <c r="P297" s="14"/>
    </row>
    <row r="298" spans="1:16" ht="14.4">
      <c r="A298" s="6" t="s">
        <v>529</v>
      </c>
      <c r="B298" s="7"/>
      <c r="C298" s="6"/>
      <c r="H298" s="9" t="s">
        <v>30</v>
      </c>
      <c r="I298" s="11"/>
      <c r="J298" s="11"/>
      <c r="K298" s="11"/>
      <c r="L298" s="11"/>
    </row>
    <row r="299" spans="1:16" ht="14.4">
      <c r="A299" s="14" t="s">
        <v>530</v>
      </c>
      <c r="B299" s="14"/>
      <c r="C299" s="14" t="s">
        <v>531</v>
      </c>
      <c r="D299" s="14"/>
      <c r="E299" s="14"/>
      <c r="F299" s="14"/>
      <c r="G299" s="14"/>
      <c r="H299" s="10"/>
      <c r="I299" s="10"/>
      <c r="J299" s="10"/>
      <c r="K299" s="10"/>
      <c r="L299" s="10"/>
      <c r="M299" s="14"/>
      <c r="N299" s="14"/>
      <c r="O299" s="14"/>
      <c r="P299" s="14"/>
    </row>
    <row r="300" spans="1:16" ht="14.4">
      <c r="A300" s="6" t="s">
        <v>532</v>
      </c>
      <c r="B300" s="8">
        <v>903533432974</v>
      </c>
      <c r="C300" s="6" t="s">
        <v>533</v>
      </c>
      <c r="H300" s="69" t="s">
        <v>269</v>
      </c>
      <c r="I300" s="11" t="s">
        <v>110</v>
      </c>
      <c r="J300" s="11"/>
      <c r="K300" s="11"/>
      <c r="L300" s="11"/>
    </row>
    <row r="301" spans="1:16" ht="14.4">
      <c r="A301" s="6" t="s">
        <v>534</v>
      </c>
      <c r="B301" s="7"/>
      <c r="C301" s="6"/>
      <c r="H301" s="9" t="s">
        <v>30</v>
      </c>
      <c r="I301" s="10" t="s">
        <v>31</v>
      </c>
      <c r="J301" s="11"/>
      <c r="K301" s="11"/>
      <c r="L301" s="11"/>
    </row>
    <row r="302" spans="1:16" ht="14.4">
      <c r="A302" s="6" t="s">
        <v>534</v>
      </c>
      <c r="B302" s="7"/>
      <c r="C302" s="6"/>
      <c r="H302" s="9"/>
      <c r="I302" s="11"/>
      <c r="J302" s="11"/>
      <c r="K302" s="10" t="s">
        <v>49</v>
      </c>
      <c r="L302" s="11"/>
    </row>
    <row r="303" spans="1:16" ht="14.4">
      <c r="A303" s="14" t="s">
        <v>535</v>
      </c>
      <c r="B303" s="14" t="s">
        <v>536</v>
      </c>
      <c r="C303" s="19" t="str">
        <f>HYPERLINK("mailto:clau_coppola@yahoo.com.ar","clau_coppola@yahoo.com.ar")</f>
        <v>clau_coppola@yahoo.com.ar</v>
      </c>
      <c r="D303" s="15">
        <v>41334</v>
      </c>
      <c r="E303" s="14"/>
      <c r="F303" s="15">
        <v>41426</v>
      </c>
      <c r="G303" s="14"/>
      <c r="H303" s="10"/>
      <c r="I303" s="10"/>
      <c r="J303" s="10"/>
      <c r="K303" s="10"/>
      <c r="L303" s="10"/>
      <c r="M303" s="14"/>
      <c r="N303" s="14"/>
      <c r="O303" s="14"/>
      <c r="P303" s="14"/>
    </row>
    <row r="304" spans="1:16" ht="14.4">
      <c r="A304" s="14" t="s">
        <v>537</v>
      </c>
      <c r="B304" s="14" t="s">
        <v>538</v>
      </c>
      <c r="C304" s="14" t="s">
        <v>539</v>
      </c>
      <c r="D304" s="15">
        <v>42095</v>
      </c>
      <c r="E304" s="14"/>
      <c r="F304" s="14"/>
      <c r="G304" s="14"/>
      <c r="H304" s="20">
        <v>42278</v>
      </c>
      <c r="I304" s="10"/>
      <c r="J304" s="10"/>
      <c r="K304" s="10"/>
      <c r="L304" s="10"/>
      <c r="M304" s="14"/>
      <c r="N304" s="14"/>
      <c r="O304" s="14"/>
      <c r="P304" s="14"/>
    </row>
    <row r="305" spans="1:17" ht="14.4">
      <c r="A305" s="6" t="s">
        <v>540</v>
      </c>
      <c r="B305" s="7"/>
      <c r="C305" s="7"/>
      <c r="H305" s="9"/>
      <c r="I305" s="11"/>
      <c r="J305" s="11"/>
      <c r="K305" s="11"/>
      <c r="L305" s="10" t="s">
        <v>35</v>
      </c>
    </row>
    <row r="306" spans="1:17" ht="15.3">
      <c r="A306" s="14" t="s">
        <v>541</v>
      </c>
      <c r="B306" s="70">
        <v>1158508824</v>
      </c>
      <c r="C306" s="10" t="s">
        <v>542</v>
      </c>
      <c r="H306" s="22"/>
      <c r="I306" s="10" t="s">
        <v>215</v>
      </c>
      <c r="J306" s="11"/>
      <c r="K306" s="11"/>
      <c r="L306" s="11"/>
    </row>
    <row r="307" spans="1:17" ht="14.4">
      <c r="A307" s="6" t="s">
        <v>543</v>
      </c>
      <c r="B307" s="8">
        <v>1157584354</v>
      </c>
      <c r="C307" s="7"/>
      <c r="H307" s="9" t="s">
        <v>94</v>
      </c>
      <c r="I307" s="10" t="s">
        <v>123</v>
      </c>
      <c r="J307" s="11"/>
      <c r="K307" s="11"/>
      <c r="L307" s="11"/>
    </row>
    <row r="308" spans="1:17" ht="14.4">
      <c r="A308" s="6" t="s">
        <v>543</v>
      </c>
      <c r="B308" s="7"/>
      <c r="C308" s="6"/>
      <c r="H308" s="9" t="s">
        <v>94</v>
      </c>
      <c r="I308" s="11"/>
      <c r="J308" s="11"/>
      <c r="K308" s="11"/>
      <c r="L308" s="11"/>
    </row>
    <row r="309" spans="1:17" ht="14.4">
      <c r="A309" s="37" t="s">
        <v>544</v>
      </c>
      <c r="B309" s="38">
        <v>1550144211</v>
      </c>
      <c r="C309" s="26" t="s">
        <v>545</v>
      </c>
      <c r="D309" s="65">
        <v>43238</v>
      </c>
      <c r="H309" s="22"/>
      <c r="I309" s="11"/>
      <c r="J309" s="11"/>
      <c r="K309" s="11"/>
      <c r="L309" s="11"/>
      <c r="P309" s="14"/>
    </row>
    <row r="310" spans="1:17" ht="14.4">
      <c r="A310" s="14" t="s">
        <v>546</v>
      </c>
      <c r="B310" s="13">
        <v>1168461621</v>
      </c>
      <c r="C310" s="19" t="str">
        <f>HYPERLINK("mailto:cnhauff@gmail.com","cnhauff@gmail.com")</f>
        <v>cnhauff@gmail.com</v>
      </c>
      <c r="D310" s="15">
        <v>41000</v>
      </c>
      <c r="E310" s="14"/>
      <c r="F310" s="14"/>
      <c r="G310" s="14"/>
      <c r="H310" s="10"/>
      <c r="I310" s="10"/>
      <c r="J310" s="10"/>
      <c r="K310" s="10"/>
      <c r="L310" s="10"/>
      <c r="M310" s="14"/>
      <c r="N310" s="14"/>
      <c r="O310" s="14"/>
      <c r="P310" s="14"/>
    </row>
    <row r="311" spans="1:17" ht="14.4">
      <c r="A311" s="13" t="s">
        <v>547</v>
      </c>
      <c r="B311" s="17">
        <v>1521851752</v>
      </c>
      <c r="C311" s="13" t="s">
        <v>548</v>
      </c>
      <c r="D311" s="14"/>
      <c r="E311" s="14"/>
      <c r="F311" s="21" t="s">
        <v>135</v>
      </c>
      <c r="G311" s="14"/>
      <c r="H311" s="10"/>
      <c r="I311" s="10"/>
      <c r="J311" s="10"/>
      <c r="K311" s="10"/>
      <c r="L311" s="10"/>
      <c r="M311" s="14"/>
      <c r="N311" s="14"/>
      <c r="O311" s="14"/>
      <c r="P311" s="14"/>
    </row>
    <row r="312" spans="1:17" ht="14.4">
      <c r="A312" s="6" t="s">
        <v>549</v>
      </c>
      <c r="B312" s="7"/>
      <c r="C312" s="7"/>
      <c r="H312" s="9" t="s">
        <v>82</v>
      </c>
      <c r="I312" s="11"/>
      <c r="J312" s="11"/>
      <c r="K312" s="11"/>
      <c r="L312" s="11"/>
    </row>
    <row r="313" spans="1:17" ht="14.4">
      <c r="A313" s="9" t="s">
        <v>549</v>
      </c>
      <c r="B313" s="7"/>
      <c r="C313" s="7"/>
      <c r="H313" s="9"/>
      <c r="I313" s="35">
        <v>45713</v>
      </c>
      <c r="J313" s="11"/>
      <c r="K313" s="11"/>
      <c r="L313" s="11"/>
    </row>
    <row r="314" spans="1:17" ht="14.4">
      <c r="A314" s="6" t="s">
        <v>549</v>
      </c>
      <c r="B314" s="7"/>
      <c r="C314" s="7"/>
      <c r="H314" s="9"/>
      <c r="I314" s="11"/>
      <c r="J314" s="11"/>
      <c r="K314" s="11" t="s">
        <v>22</v>
      </c>
      <c r="L314" s="11"/>
    </row>
    <row r="315" spans="1:17" ht="14.4">
      <c r="A315" s="6" t="s">
        <v>550</v>
      </c>
      <c r="B315" s="7"/>
      <c r="C315" s="6" t="s">
        <v>551</v>
      </c>
      <c r="H315" s="9" t="s">
        <v>159</v>
      </c>
      <c r="I315" s="11"/>
      <c r="J315" s="11"/>
      <c r="K315" s="11"/>
      <c r="L315" s="11"/>
    </row>
    <row r="316" spans="1:17" ht="14.4">
      <c r="A316" s="61" t="s">
        <v>550</v>
      </c>
      <c r="B316" s="7"/>
      <c r="C316" s="7" t="s">
        <v>551</v>
      </c>
      <c r="H316" s="9" t="s">
        <v>75</v>
      </c>
      <c r="I316" s="11"/>
      <c r="J316" s="11"/>
      <c r="K316" s="11"/>
      <c r="L316" s="11"/>
    </row>
    <row r="317" spans="1:17" ht="14.4">
      <c r="A317" s="9" t="s">
        <v>552</v>
      </c>
      <c r="B317" s="7"/>
      <c r="C317" s="7"/>
      <c r="H317" s="9"/>
      <c r="I317" s="11"/>
      <c r="J317" s="11"/>
      <c r="K317" s="11"/>
      <c r="L317" s="11"/>
      <c r="Q317" s="16">
        <v>45713</v>
      </c>
    </row>
    <row r="318" spans="1:17" ht="14.4">
      <c r="A318" s="6" t="s">
        <v>553</v>
      </c>
      <c r="B318" s="7"/>
      <c r="C318" s="7"/>
      <c r="H318" s="9" t="s">
        <v>82</v>
      </c>
      <c r="I318" s="11"/>
      <c r="J318" s="11"/>
      <c r="K318" s="11"/>
      <c r="L318" s="11"/>
    </row>
    <row r="319" spans="1:17" ht="14.4">
      <c r="A319" s="6" t="s">
        <v>554</v>
      </c>
      <c r="B319" s="7"/>
      <c r="C319" s="7"/>
      <c r="H319" s="9"/>
      <c r="I319" s="11"/>
      <c r="J319" s="11"/>
      <c r="K319" s="11"/>
      <c r="L319" s="11"/>
      <c r="Q319" s="16">
        <v>45833</v>
      </c>
    </row>
    <row r="320" spans="1:17" ht="14.4">
      <c r="A320" s="7" t="s">
        <v>555</v>
      </c>
      <c r="B320" s="32">
        <v>1155829108</v>
      </c>
      <c r="C320" s="71" t="s">
        <v>556</v>
      </c>
      <c r="H320" s="22"/>
      <c r="I320" s="11"/>
      <c r="J320" s="11"/>
      <c r="K320" s="10" t="s">
        <v>212</v>
      </c>
      <c r="L320" s="10"/>
      <c r="P320" s="14"/>
    </row>
    <row r="321" spans="1:17" ht="14.4">
      <c r="A321" s="6" t="s">
        <v>557</v>
      </c>
      <c r="B321" s="7"/>
      <c r="C321" s="6"/>
      <c r="H321" s="9" t="s">
        <v>29</v>
      </c>
      <c r="I321" s="11"/>
      <c r="J321" s="11"/>
      <c r="K321" s="11"/>
      <c r="L321" s="11"/>
    </row>
    <row r="322" spans="1:17" ht="14.4">
      <c r="A322" s="6" t="s">
        <v>558</v>
      </c>
      <c r="B322" s="33" t="s">
        <v>559</v>
      </c>
      <c r="C322" s="28" t="s">
        <v>560</v>
      </c>
      <c r="H322" s="9" t="s">
        <v>260</v>
      </c>
      <c r="I322" s="11"/>
      <c r="J322" s="11"/>
      <c r="K322" s="11"/>
      <c r="L322" s="11"/>
      <c r="P322" s="14"/>
    </row>
    <row r="323" spans="1:17" ht="14.4">
      <c r="A323" s="6" t="s">
        <v>561</v>
      </c>
      <c r="B323" s="7"/>
      <c r="C323" s="6"/>
      <c r="H323" s="9" t="s">
        <v>50</v>
      </c>
      <c r="I323" s="11"/>
      <c r="J323" s="11"/>
      <c r="K323" s="11"/>
      <c r="L323" s="11"/>
    </row>
    <row r="324" spans="1:17" ht="14.4">
      <c r="A324" s="6" t="s">
        <v>561</v>
      </c>
      <c r="B324" s="7"/>
      <c r="C324" s="6"/>
      <c r="H324" s="9"/>
      <c r="I324" s="10" t="s">
        <v>51</v>
      </c>
      <c r="J324" s="11"/>
      <c r="K324" s="11"/>
      <c r="L324" s="11"/>
    </row>
    <row r="325" spans="1:17" ht="14.4">
      <c r="A325" s="9" t="s">
        <v>561</v>
      </c>
      <c r="B325" s="7"/>
      <c r="C325" s="6"/>
      <c r="H325" s="9"/>
      <c r="I325" s="11"/>
      <c r="J325" s="41">
        <v>45954</v>
      </c>
      <c r="K325" s="11"/>
      <c r="L325" s="11"/>
    </row>
    <row r="326" spans="1:17" ht="14.4">
      <c r="A326" s="9" t="s">
        <v>561</v>
      </c>
      <c r="B326" s="7"/>
      <c r="C326" s="7"/>
      <c r="H326" s="9"/>
      <c r="I326" s="11"/>
      <c r="J326" s="11"/>
      <c r="K326" s="11"/>
      <c r="L326" s="11"/>
      <c r="Q326" s="16">
        <v>45713</v>
      </c>
    </row>
    <row r="327" spans="1:17" ht="14.4">
      <c r="A327" s="6" t="s">
        <v>562</v>
      </c>
      <c r="B327" s="9" t="s">
        <v>563</v>
      </c>
      <c r="C327" s="9" t="s">
        <v>564</v>
      </c>
      <c r="H327" s="17" t="s">
        <v>19</v>
      </c>
      <c r="I327" s="10" t="s">
        <v>20</v>
      </c>
      <c r="J327" s="10" t="s">
        <v>35</v>
      </c>
      <c r="K327" s="11"/>
      <c r="L327" s="11"/>
      <c r="P327" s="6" t="s">
        <v>68</v>
      </c>
    </row>
    <row r="328" spans="1:17" ht="14.4">
      <c r="A328" s="6" t="s">
        <v>565</v>
      </c>
      <c r="B328" s="7"/>
      <c r="C328" s="6"/>
      <c r="H328" s="9"/>
      <c r="I328" s="11"/>
      <c r="J328" s="11"/>
      <c r="K328" s="10" t="s">
        <v>49</v>
      </c>
      <c r="L328" s="11"/>
    </row>
    <row r="329" spans="1:17" ht="14.4">
      <c r="A329" s="14" t="s">
        <v>566</v>
      </c>
      <c r="B329" s="14" t="s">
        <v>567</v>
      </c>
      <c r="C329" s="14" t="s">
        <v>568</v>
      </c>
      <c r="D329" s="14"/>
      <c r="E329" s="14"/>
      <c r="F329" s="15">
        <v>41487</v>
      </c>
      <c r="G329" s="14"/>
      <c r="H329" s="20">
        <v>41456</v>
      </c>
      <c r="I329" s="10"/>
      <c r="J329" s="10"/>
      <c r="K329" s="10"/>
      <c r="L329" s="10"/>
      <c r="M329" s="14"/>
      <c r="N329" s="14"/>
      <c r="O329" s="14"/>
      <c r="P329" s="14"/>
    </row>
    <row r="330" spans="1:17" ht="14.4">
      <c r="A330" s="6" t="s">
        <v>569</v>
      </c>
      <c r="B330" s="7"/>
      <c r="C330" s="7"/>
      <c r="H330" s="9" t="s">
        <v>82</v>
      </c>
      <c r="I330" s="11"/>
      <c r="J330" s="11"/>
      <c r="K330" s="11"/>
      <c r="L330" s="11"/>
    </row>
    <row r="331" spans="1:17" ht="14.4">
      <c r="A331" s="9" t="s">
        <v>569</v>
      </c>
      <c r="B331" s="7"/>
      <c r="C331" s="7"/>
      <c r="H331" s="9"/>
      <c r="I331" s="35">
        <v>45713</v>
      </c>
      <c r="J331" s="11"/>
      <c r="K331" s="11"/>
      <c r="L331" s="11"/>
    </row>
    <row r="332" spans="1:17" ht="14.4">
      <c r="A332" s="6" t="s">
        <v>569</v>
      </c>
      <c r="B332" s="7"/>
      <c r="C332" s="7"/>
      <c r="H332" s="9"/>
      <c r="I332" s="11"/>
      <c r="J332" s="11"/>
      <c r="K332" s="11" t="s">
        <v>22</v>
      </c>
      <c r="L332" s="11"/>
    </row>
    <row r="333" spans="1:17" ht="15.75" customHeight="1">
      <c r="A333" s="14" t="s">
        <v>570</v>
      </c>
      <c r="B333" s="14" t="s">
        <v>571</v>
      </c>
      <c r="C333" s="47" t="s">
        <v>572</v>
      </c>
      <c r="D333" s="14"/>
      <c r="E333" s="15">
        <v>41456</v>
      </c>
      <c r="F333" s="15">
        <v>41487</v>
      </c>
      <c r="G333" s="14"/>
      <c r="H333" s="10"/>
      <c r="I333" s="10"/>
      <c r="J333" s="10"/>
      <c r="K333" s="10"/>
      <c r="L333" s="10"/>
      <c r="M333" s="14"/>
      <c r="N333" s="14"/>
      <c r="O333" s="14"/>
      <c r="P333" s="14"/>
    </row>
    <row r="334" spans="1:17" ht="14.4">
      <c r="A334" s="13" t="s">
        <v>573</v>
      </c>
      <c r="B334" s="14" t="s">
        <v>574</v>
      </c>
      <c r="C334" s="14" t="s">
        <v>575</v>
      </c>
      <c r="D334" s="15">
        <v>42186</v>
      </c>
      <c r="E334" s="14"/>
      <c r="F334" s="14"/>
      <c r="G334" s="14"/>
      <c r="H334" s="10"/>
      <c r="I334" s="10"/>
      <c r="J334" s="10"/>
      <c r="K334" s="10"/>
      <c r="L334" s="10"/>
      <c r="M334" s="14"/>
      <c r="N334" s="14"/>
      <c r="O334" s="14"/>
      <c r="P334" s="14"/>
    </row>
    <row r="335" spans="1:17" ht="15.75" customHeight="1">
      <c r="A335" s="14" t="s">
        <v>576</v>
      </c>
      <c r="B335" s="14" t="s">
        <v>577</v>
      </c>
      <c r="C335" s="14" t="s">
        <v>578</v>
      </c>
      <c r="D335" s="14"/>
      <c r="E335" s="14"/>
      <c r="F335" s="14"/>
      <c r="G335" s="15">
        <v>41852</v>
      </c>
      <c r="H335" s="10"/>
      <c r="I335" s="10"/>
      <c r="J335" s="10"/>
      <c r="K335" s="10"/>
      <c r="L335" s="10"/>
      <c r="M335" s="15">
        <v>42064</v>
      </c>
      <c r="N335" s="14">
        <v>2015</v>
      </c>
      <c r="O335" s="14"/>
      <c r="P335" s="14"/>
    </row>
    <row r="336" spans="1:17" ht="15.75" customHeight="1">
      <c r="A336" s="9" t="s">
        <v>579</v>
      </c>
      <c r="B336" s="7"/>
      <c r="C336" s="6" t="s">
        <v>580</v>
      </c>
      <c r="H336" s="17" t="s">
        <v>19</v>
      </c>
      <c r="I336" s="11"/>
      <c r="J336" s="11"/>
      <c r="K336" s="11"/>
      <c r="L336" s="11"/>
    </row>
    <row r="337" spans="1:16" ht="15.75" customHeight="1">
      <c r="A337" s="6" t="s">
        <v>581</v>
      </c>
      <c r="B337" s="14"/>
      <c r="C337" s="6" t="s">
        <v>582</v>
      </c>
      <c r="D337" s="14"/>
      <c r="E337" s="14"/>
      <c r="F337" s="14"/>
      <c r="G337" s="6"/>
      <c r="H337" s="9"/>
      <c r="I337" s="23" t="s">
        <v>55</v>
      </c>
      <c r="J337" s="10"/>
      <c r="K337" s="10" t="s">
        <v>212</v>
      </c>
      <c r="L337" s="41">
        <v>45253</v>
      </c>
      <c r="P337" s="14" t="s">
        <v>583</v>
      </c>
    </row>
    <row r="338" spans="1:16" ht="15.75" customHeight="1">
      <c r="A338" s="72" t="s">
        <v>584</v>
      </c>
      <c r="B338" s="72">
        <v>1558093140</v>
      </c>
      <c r="C338" s="13" t="s">
        <v>585</v>
      </c>
      <c r="D338" s="14"/>
      <c r="E338" s="15">
        <v>42248</v>
      </c>
      <c r="F338" s="14"/>
      <c r="G338" s="14"/>
      <c r="H338" s="10"/>
      <c r="I338" s="10"/>
      <c r="J338" s="10"/>
      <c r="K338" s="10"/>
      <c r="L338" s="10"/>
      <c r="M338" s="14"/>
      <c r="N338" s="14"/>
      <c r="O338" s="14"/>
    </row>
    <row r="339" spans="1:16" ht="15.75" customHeight="1">
      <c r="A339" s="73" t="s">
        <v>586</v>
      </c>
      <c r="B339" s="73"/>
      <c r="C339" s="19" t="str">
        <f>HYPERLINK("mailto:cristinaknapp@gmail.com","cristinaknapp@gmail.com")</f>
        <v>cristinaknapp@gmail.com</v>
      </c>
      <c r="D339" s="14"/>
      <c r="E339" s="15">
        <v>41306</v>
      </c>
      <c r="F339" s="14"/>
      <c r="G339" s="14"/>
      <c r="H339" s="10"/>
      <c r="I339" s="10"/>
      <c r="J339" s="10"/>
      <c r="K339" s="10"/>
      <c r="L339" s="10"/>
      <c r="M339" s="14"/>
      <c r="N339" s="14"/>
      <c r="O339" s="14"/>
      <c r="P339" s="14"/>
    </row>
    <row r="340" spans="1:16" ht="15.75" customHeight="1">
      <c r="A340" s="73" t="s">
        <v>587</v>
      </c>
      <c r="B340" s="73"/>
      <c r="C340" s="64" t="s">
        <v>588</v>
      </c>
      <c r="D340" s="14"/>
      <c r="E340" s="14"/>
      <c r="F340" s="14"/>
      <c r="G340" s="14"/>
      <c r="H340" s="10"/>
      <c r="I340" s="10"/>
      <c r="J340" s="10"/>
      <c r="K340" s="10"/>
      <c r="L340" s="10"/>
      <c r="M340" s="14"/>
      <c r="N340" s="14"/>
      <c r="O340" s="14"/>
      <c r="P340" s="14"/>
    </row>
    <row r="341" spans="1:16" ht="15.75" customHeight="1">
      <c r="A341" s="74" t="s">
        <v>589</v>
      </c>
      <c r="B341" s="75">
        <v>1130892639</v>
      </c>
      <c r="C341" s="25" t="s">
        <v>590</v>
      </c>
      <c r="D341" s="14" t="s">
        <v>90</v>
      </c>
      <c r="H341" s="22"/>
      <c r="I341" s="11"/>
      <c r="J341" s="11"/>
      <c r="K341" s="11"/>
      <c r="L341" s="11"/>
      <c r="P341" s="14"/>
    </row>
    <row r="342" spans="1:16" ht="15.75" customHeight="1">
      <c r="A342" s="73" t="s">
        <v>591</v>
      </c>
      <c r="B342" s="73" t="s">
        <v>513</v>
      </c>
      <c r="C342" s="19" t="str">
        <f>HYPERLINK("mailto:crissek@gmail.com","crissek@gmail.com")</f>
        <v>crissek@gmail.com</v>
      </c>
      <c r="D342" s="14"/>
      <c r="E342" s="14"/>
      <c r="F342" s="15">
        <v>41365</v>
      </c>
      <c r="G342" s="14"/>
      <c r="H342" s="10"/>
      <c r="I342" s="10"/>
      <c r="J342" s="10"/>
      <c r="K342" s="10"/>
      <c r="L342" s="10"/>
      <c r="M342" s="14"/>
      <c r="N342" s="14">
        <v>2015</v>
      </c>
      <c r="O342" s="14"/>
      <c r="P342" s="14"/>
    </row>
    <row r="343" spans="1:16" ht="15.75" customHeight="1">
      <c r="A343" s="76" t="s">
        <v>592</v>
      </c>
      <c r="B343" s="77">
        <v>3515163253</v>
      </c>
      <c r="C343" s="10" t="s">
        <v>593</v>
      </c>
      <c r="H343" s="30" t="s">
        <v>73</v>
      </c>
      <c r="I343" s="11"/>
      <c r="J343" s="10"/>
      <c r="K343" s="10"/>
      <c r="L343" s="10"/>
      <c r="P343" s="14"/>
    </row>
    <row r="344" spans="1:16" ht="15.75" customHeight="1">
      <c r="A344" s="78" t="s">
        <v>594</v>
      </c>
      <c r="B344" s="79"/>
      <c r="C344" s="6"/>
      <c r="H344" s="9" t="s">
        <v>30</v>
      </c>
      <c r="I344" s="11"/>
      <c r="J344" s="11"/>
      <c r="K344" s="11"/>
      <c r="L344" s="11"/>
    </row>
    <row r="345" spans="1:16" ht="15.75" customHeight="1">
      <c r="A345" s="73" t="s">
        <v>595</v>
      </c>
      <c r="B345" s="73" t="s">
        <v>596</v>
      </c>
      <c r="C345" s="47" t="s">
        <v>597</v>
      </c>
      <c r="D345" s="15">
        <v>41214</v>
      </c>
      <c r="E345" s="14"/>
      <c r="F345" s="15">
        <v>41365</v>
      </c>
      <c r="G345" s="14"/>
      <c r="H345" s="10"/>
      <c r="I345" s="10"/>
      <c r="J345" s="10"/>
      <c r="K345" s="10"/>
      <c r="L345" s="10"/>
      <c r="M345" s="14"/>
      <c r="N345" s="14"/>
      <c r="O345" s="14"/>
      <c r="P345" s="14"/>
    </row>
    <row r="346" spans="1:16" ht="15.75" customHeight="1">
      <c r="A346" s="73" t="s">
        <v>598</v>
      </c>
      <c r="B346" s="72">
        <v>1530252327</v>
      </c>
      <c r="C346" s="64" t="s">
        <v>599</v>
      </c>
      <c r="D346" s="14"/>
      <c r="E346" s="14"/>
      <c r="F346" s="14"/>
      <c r="G346" s="14"/>
      <c r="H346" s="10"/>
      <c r="I346" s="10"/>
      <c r="J346" s="10"/>
      <c r="K346" s="10"/>
      <c r="L346" s="10"/>
      <c r="M346" s="14"/>
      <c r="N346" s="14"/>
      <c r="O346" s="14"/>
      <c r="P346" s="14"/>
    </row>
    <row r="347" spans="1:16" ht="15.75" customHeight="1">
      <c r="A347" s="73" t="s">
        <v>600</v>
      </c>
      <c r="B347" s="72">
        <v>1568561545</v>
      </c>
      <c r="C347" s="19" t="str">
        <f>HYPERLINK("mailto:crisbasi@hotmail.com","crisbasi@hotmail.com")</f>
        <v>crisbasi@hotmail.com</v>
      </c>
      <c r="D347" s="15">
        <v>41214</v>
      </c>
      <c r="E347" s="14"/>
      <c r="F347" s="14"/>
      <c r="G347" s="14"/>
      <c r="H347" s="10"/>
      <c r="I347" s="10"/>
      <c r="J347" s="10"/>
      <c r="K347" s="10"/>
      <c r="L347" s="10"/>
      <c r="M347" s="14"/>
      <c r="N347" s="14"/>
      <c r="O347" s="14"/>
      <c r="P347" s="14"/>
    </row>
    <row r="348" spans="1:16" ht="15.75" customHeight="1">
      <c r="A348" s="73" t="s">
        <v>601</v>
      </c>
      <c r="B348" s="73" t="s">
        <v>602</v>
      </c>
      <c r="C348" s="19" t="str">
        <f>HYPERLINK("mailto:cristina.cabantous@gmail.com","cristina.cabantous@gmail.com")</f>
        <v>cristina.cabantous@gmail.com</v>
      </c>
      <c r="D348" s="14"/>
      <c r="E348" s="14"/>
      <c r="F348" s="15">
        <v>41487</v>
      </c>
      <c r="G348" s="14"/>
      <c r="H348" s="20">
        <v>41456</v>
      </c>
      <c r="I348" s="10"/>
      <c r="J348" s="10"/>
      <c r="K348" s="10"/>
      <c r="L348" s="10"/>
      <c r="M348" s="14"/>
      <c r="N348" s="14"/>
      <c r="O348" s="14"/>
      <c r="P348" s="14"/>
    </row>
    <row r="349" spans="1:16" ht="15.75" customHeight="1">
      <c r="A349" s="73" t="s">
        <v>603</v>
      </c>
      <c r="B349" s="73" t="s">
        <v>604</v>
      </c>
      <c r="C349" s="14" t="s">
        <v>605</v>
      </c>
      <c r="D349" s="15">
        <v>41091</v>
      </c>
      <c r="E349" s="14"/>
      <c r="F349" s="14"/>
      <c r="G349" s="14"/>
      <c r="H349" s="10"/>
      <c r="I349" s="10"/>
      <c r="J349" s="10"/>
      <c r="K349" s="10"/>
      <c r="L349" s="10"/>
      <c r="M349" s="14"/>
      <c r="N349" s="14"/>
      <c r="O349" s="14"/>
      <c r="P349" s="14"/>
    </row>
    <row r="350" spans="1:16" ht="14.4">
      <c r="A350" s="14" t="s">
        <v>606</v>
      </c>
      <c r="B350" s="14" t="s">
        <v>607</v>
      </c>
      <c r="C350" s="14" t="s">
        <v>608</v>
      </c>
      <c r="D350" s="14"/>
      <c r="E350" s="14"/>
      <c r="F350" s="15">
        <v>41000</v>
      </c>
      <c r="G350" s="14"/>
      <c r="H350" s="10"/>
      <c r="I350" s="10"/>
      <c r="J350" s="10"/>
      <c r="K350" s="10"/>
      <c r="L350" s="10"/>
      <c r="M350" s="14"/>
      <c r="N350" s="14"/>
      <c r="O350" s="14"/>
      <c r="P350" s="14"/>
    </row>
    <row r="351" spans="1:16" ht="14.4">
      <c r="A351" s="6" t="s">
        <v>609</v>
      </c>
      <c r="B351" s="14"/>
      <c r="C351" s="80" t="s">
        <v>610</v>
      </c>
      <c r="D351" s="14"/>
      <c r="E351" s="14"/>
      <c r="F351" s="14"/>
      <c r="G351" s="6"/>
      <c r="H351" s="9" t="s">
        <v>54</v>
      </c>
      <c r="I351" s="23" t="s">
        <v>55</v>
      </c>
      <c r="J351" s="10"/>
      <c r="K351" s="10"/>
      <c r="L351" s="10"/>
      <c r="P351" s="14"/>
    </row>
    <row r="352" spans="1:16" ht="14.4">
      <c r="A352" s="7" t="s">
        <v>611</v>
      </c>
      <c r="B352" s="7"/>
      <c r="C352" s="7" t="s">
        <v>612</v>
      </c>
      <c r="H352" s="17" t="s">
        <v>20</v>
      </c>
      <c r="I352" s="10" t="s">
        <v>35</v>
      </c>
      <c r="J352" s="10" t="s">
        <v>67</v>
      </c>
      <c r="K352" s="11"/>
      <c r="L352" s="11"/>
    </row>
    <row r="353" spans="1:16" ht="14.4">
      <c r="A353" s="6" t="s">
        <v>613</v>
      </c>
      <c r="B353" s="32"/>
      <c r="C353" s="33" t="s">
        <v>614</v>
      </c>
      <c r="E353" s="21" t="s">
        <v>132</v>
      </c>
      <c r="H353" s="22"/>
      <c r="I353" s="11"/>
      <c r="J353" s="11"/>
      <c r="K353" s="11"/>
      <c r="L353" s="11"/>
      <c r="P353" s="14"/>
    </row>
    <row r="354" spans="1:16" ht="14.4">
      <c r="A354" s="6" t="s">
        <v>615</v>
      </c>
      <c r="B354" s="7"/>
      <c r="C354" s="6" t="s">
        <v>616</v>
      </c>
      <c r="H354" s="69" t="s">
        <v>269</v>
      </c>
      <c r="I354" s="11"/>
      <c r="J354" s="11"/>
      <c r="K354" s="11"/>
      <c r="L354" s="11"/>
    </row>
    <row r="355" spans="1:16" ht="14.4">
      <c r="A355" s="6" t="s">
        <v>617</v>
      </c>
      <c r="B355" s="7"/>
      <c r="C355" s="6" t="s">
        <v>618</v>
      </c>
      <c r="H355" s="17" t="s">
        <v>19</v>
      </c>
      <c r="I355" s="10" t="s">
        <v>20</v>
      </c>
      <c r="J355" s="11"/>
      <c r="K355" s="11"/>
      <c r="L355" s="11"/>
    </row>
    <row r="356" spans="1:16" ht="14.4">
      <c r="A356" s="14" t="s">
        <v>619</v>
      </c>
      <c r="B356" s="47" t="s">
        <v>620</v>
      </c>
      <c r="C356" s="19" t="str">
        <f>HYPERLINK("mailto:dbidjimenian@wika.com.ar","dbidjimenian@wika.com.ar")</f>
        <v>dbidjimenian@wika.com.ar</v>
      </c>
      <c r="D356" s="14"/>
      <c r="E356" s="15">
        <v>41275</v>
      </c>
      <c r="F356" s="14"/>
      <c r="G356" s="14"/>
      <c r="H356" s="10"/>
      <c r="I356" s="10"/>
      <c r="J356" s="10"/>
      <c r="K356" s="10"/>
      <c r="L356" s="10"/>
      <c r="M356" s="14"/>
      <c r="N356" s="14"/>
      <c r="O356" s="14"/>
      <c r="P356" s="14"/>
    </row>
    <row r="357" spans="1:16" ht="14.4">
      <c r="A357" s="7" t="s">
        <v>621</v>
      </c>
      <c r="B357" s="7"/>
      <c r="C357" s="7" t="s">
        <v>622</v>
      </c>
      <c r="H357" s="17" t="s">
        <v>20</v>
      </c>
      <c r="I357" s="11"/>
      <c r="J357" s="11"/>
      <c r="K357" s="11"/>
      <c r="L357" s="11"/>
    </row>
    <row r="358" spans="1:16" ht="14.4">
      <c r="A358" s="14" t="s">
        <v>623</v>
      </c>
      <c r="B358" s="14"/>
      <c r="C358" s="14" t="s">
        <v>624</v>
      </c>
      <c r="D358" s="14"/>
      <c r="E358" s="15">
        <v>41671</v>
      </c>
      <c r="F358" s="14"/>
      <c r="G358" s="14"/>
      <c r="H358" s="10"/>
      <c r="I358" s="10"/>
      <c r="J358" s="10"/>
      <c r="K358" s="10"/>
      <c r="L358" s="10"/>
      <c r="M358" s="14"/>
      <c r="N358" s="14"/>
      <c r="O358" s="14"/>
      <c r="P358" s="14"/>
    </row>
    <row r="359" spans="1:16" ht="14.4">
      <c r="A359" s="9" t="s">
        <v>625</v>
      </c>
      <c r="B359" s="8">
        <v>92494561864</v>
      </c>
      <c r="C359" s="6" t="s">
        <v>626</v>
      </c>
      <c r="H359" s="9" t="s">
        <v>94</v>
      </c>
      <c r="I359" s="11"/>
      <c r="J359" s="11"/>
      <c r="K359" s="11"/>
      <c r="L359" s="11"/>
    </row>
    <row r="360" spans="1:16" ht="14.4">
      <c r="A360" s="61" t="s">
        <v>625</v>
      </c>
      <c r="B360" s="7"/>
      <c r="C360" s="6"/>
      <c r="H360" s="9" t="s">
        <v>94</v>
      </c>
      <c r="I360" s="11"/>
      <c r="J360" s="11"/>
      <c r="K360" s="11"/>
      <c r="L360" s="11"/>
    </row>
    <row r="361" spans="1:16" ht="14.4">
      <c r="A361" s="6" t="s">
        <v>627</v>
      </c>
      <c r="B361" s="8">
        <v>1163563633</v>
      </c>
      <c r="C361" s="6" t="s">
        <v>628</v>
      </c>
      <c r="H361" s="22"/>
      <c r="I361" s="11"/>
      <c r="J361" s="17" t="s">
        <v>269</v>
      </c>
      <c r="K361" s="11"/>
      <c r="L361" s="11"/>
      <c r="P361" s="12" t="s">
        <v>295</v>
      </c>
    </row>
    <row r="362" spans="1:16" ht="14.4">
      <c r="A362" s="13" t="s">
        <v>629</v>
      </c>
      <c r="B362" s="45" t="str">
        <f>HYPERLINK("tel:1152492274","1152492274")</f>
        <v>1152492274</v>
      </c>
      <c r="C362" s="13" t="s">
        <v>630</v>
      </c>
      <c r="D362" s="14"/>
      <c r="E362" s="15">
        <v>41821</v>
      </c>
      <c r="F362" s="15">
        <v>41913</v>
      </c>
      <c r="G362" s="14"/>
      <c r="H362" s="10"/>
      <c r="I362" s="10"/>
      <c r="J362" s="10"/>
      <c r="K362" s="10"/>
      <c r="L362" s="10"/>
      <c r="M362" s="14"/>
      <c r="N362" s="14"/>
      <c r="O362" s="14"/>
      <c r="P362" s="14"/>
    </row>
    <row r="363" spans="1:16" ht="14.4">
      <c r="A363" s="6" t="s">
        <v>631</v>
      </c>
      <c r="B363" s="7"/>
      <c r="C363" s="6"/>
      <c r="H363" s="9"/>
      <c r="I363" s="11"/>
      <c r="J363" s="11"/>
      <c r="K363" s="10" t="s">
        <v>49</v>
      </c>
      <c r="L363" s="11"/>
    </row>
    <row r="364" spans="1:16" ht="14.4">
      <c r="A364" s="44" t="s">
        <v>632</v>
      </c>
      <c r="B364" s="44"/>
      <c r="C364" s="19" t="str">
        <f>HYPERLINK("mailto:dmari@intramed.net","dmari@intramed.net")</f>
        <v>dmari@intramed.net</v>
      </c>
      <c r="D364" s="14"/>
      <c r="E364" s="14"/>
      <c r="F364" s="14"/>
      <c r="G364" s="14"/>
      <c r="H364" s="10"/>
      <c r="I364" s="10"/>
      <c r="J364" s="10"/>
      <c r="K364" s="10" t="s">
        <v>91</v>
      </c>
      <c r="L364" s="10"/>
      <c r="M364" s="15">
        <v>42309</v>
      </c>
      <c r="N364" s="14"/>
      <c r="O364" s="14"/>
      <c r="P364" s="14"/>
    </row>
    <row r="365" spans="1:16" ht="14.4">
      <c r="A365" s="6" t="s">
        <v>633</v>
      </c>
      <c r="B365" s="7"/>
      <c r="C365" s="6"/>
      <c r="H365" s="9" t="s">
        <v>50</v>
      </c>
      <c r="I365" s="11"/>
      <c r="J365" s="11"/>
      <c r="K365" s="11"/>
      <c r="L365" s="11"/>
    </row>
    <row r="366" spans="1:16" ht="14.4">
      <c r="A366" s="14" t="s">
        <v>634</v>
      </c>
      <c r="B366" s="32"/>
      <c r="C366" s="81" t="s">
        <v>635</v>
      </c>
      <c r="D366" s="14"/>
      <c r="E366" s="21" t="s">
        <v>314</v>
      </c>
      <c r="F366" s="14"/>
      <c r="G366" s="14"/>
      <c r="H366" s="10"/>
      <c r="I366" s="10"/>
      <c r="J366" s="10"/>
      <c r="K366" s="10"/>
      <c r="L366" s="10"/>
      <c r="M366" s="14"/>
      <c r="N366" s="14"/>
      <c r="O366" s="14"/>
      <c r="P366" s="14"/>
    </row>
    <row r="367" spans="1:16" ht="14.4">
      <c r="A367" s="14" t="s">
        <v>636</v>
      </c>
      <c r="B367" s="14" t="s">
        <v>637</v>
      </c>
      <c r="C367" s="19" t="str">
        <f>HYPERLINK("mailto:motodog74@gmail.com","motodog74@gmail.com")</f>
        <v>motodog74@gmail.com</v>
      </c>
      <c r="D367" s="14"/>
      <c r="E367" s="14"/>
      <c r="F367" s="15">
        <v>40756</v>
      </c>
      <c r="G367" s="14"/>
      <c r="H367" s="10"/>
      <c r="I367" s="10"/>
      <c r="J367" s="10"/>
      <c r="K367" s="10"/>
      <c r="L367" s="10"/>
      <c r="M367" s="14"/>
      <c r="N367" s="14"/>
      <c r="O367" s="14"/>
      <c r="P367" s="14"/>
    </row>
    <row r="368" spans="1:16" ht="14.4">
      <c r="A368" s="14" t="s">
        <v>638</v>
      </c>
      <c r="B368" s="14" t="s">
        <v>639</v>
      </c>
      <c r="C368" s="14" t="s">
        <v>640</v>
      </c>
      <c r="D368" s="15">
        <v>41730</v>
      </c>
      <c r="E368" s="14"/>
      <c r="F368" s="15">
        <v>41760</v>
      </c>
      <c r="G368" s="15">
        <v>41852</v>
      </c>
      <c r="H368" s="20">
        <v>41883</v>
      </c>
      <c r="I368" s="10"/>
      <c r="J368" s="10"/>
      <c r="K368" s="10"/>
      <c r="L368" s="10"/>
      <c r="M368" s="14"/>
      <c r="N368" s="14">
        <v>2015</v>
      </c>
      <c r="O368" s="14"/>
      <c r="P368" s="14"/>
    </row>
    <row r="369" spans="1:16" ht="14.4">
      <c r="A369" s="14" t="s">
        <v>641</v>
      </c>
      <c r="B369" s="14" t="s">
        <v>642</v>
      </c>
      <c r="C369" s="14" t="s">
        <v>643</v>
      </c>
      <c r="D369" s="15">
        <v>41122</v>
      </c>
      <c r="E369" s="14"/>
      <c r="F369" s="14"/>
      <c r="G369" s="14"/>
      <c r="H369" s="10"/>
      <c r="I369" s="10"/>
      <c r="J369" s="10"/>
      <c r="K369" s="10"/>
      <c r="L369" s="10"/>
      <c r="M369" s="14"/>
      <c r="N369" s="14"/>
      <c r="O369" s="14"/>
      <c r="P369" s="14"/>
    </row>
    <row r="370" spans="1:16" ht="14.4">
      <c r="A370" s="6" t="s">
        <v>644</v>
      </c>
      <c r="B370" s="7"/>
      <c r="C370" s="6" t="s">
        <v>645</v>
      </c>
      <c r="H370" s="42">
        <v>45222</v>
      </c>
      <c r="I370" s="41">
        <v>45253</v>
      </c>
      <c r="J370" s="11"/>
      <c r="K370" s="11"/>
      <c r="L370" s="11"/>
    </row>
    <row r="371" spans="1:16" ht="14.4">
      <c r="A371" s="53" t="s">
        <v>646</v>
      </c>
      <c r="B371" s="26">
        <v>1122625577</v>
      </c>
      <c r="C371" s="53" t="s">
        <v>647</v>
      </c>
      <c r="D371" s="21" t="s">
        <v>355</v>
      </c>
      <c r="H371" s="22"/>
      <c r="I371" s="11"/>
      <c r="J371" s="11"/>
      <c r="K371" s="11"/>
      <c r="L371" s="11"/>
      <c r="P371" s="14"/>
    </row>
    <row r="372" spans="1:16" ht="14.4">
      <c r="A372" s="6" t="s">
        <v>648</v>
      </c>
      <c r="B372" s="8">
        <v>1130942217</v>
      </c>
      <c r="C372" s="6" t="s">
        <v>649</v>
      </c>
      <c r="H372" s="43" t="s">
        <v>143</v>
      </c>
      <c r="I372" s="11"/>
      <c r="J372" s="11"/>
      <c r="K372" s="11"/>
      <c r="L372" s="11"/>
    </row>
    <row r="373" spans="1:16" ht="14.4">
      <c r="A373" s="6" t="s">
        <v>650</v>
      </c>
      <c r="B373" s="8">
        <v>2345519370</v>
      </c>
      <c r="C373" s="6" t="s">
        <v>651</v>
      </c>
      <c r="H373" s="53" t="s">
        <v>220</v>
      </c>
      <c r="I373" s="11"/>
      <c r="J373" s="11"/>
      <c r="K373" s="11"/>
      <c r="L373" s="11"/>
    </row>
    <row r="374" spans="1:16" ht="14.4">
      <c r="A374" s="9" t="s">
        <v>652</v>
      </c>
      <c r="B374" s="30" t="s">
        <v>653</v>
      </c>
      <c r="C374" s="9" t="s">
        <v>654</v>
      </c>
      <c r="H374" s="22"/>
      <c r="I374" s="11"/>
      <c r="J374" s="11"/>
      <c r="K374" s="11"/>
      <c r="L374" s="11"/>
      <c r="P374" s="43" t="s">
        <v>295</v>
      </c>
    </row>
    <row r="375" spans="1:16" ht="14.4">
      <c r="A375" s="6" t="s">
        <v>655</v>
      </c>
      <c r="B375" s="8">
        <v>1122498444</v>
      </c>
      <c r="C375" s="6" t="s">
        <v>656</v>
      </c>
      <c r="H375" s="40">
        <v>45252</v>
      </c>
      <c r="I375" s="11" t="s">
        <v>101</v>
      </c>
      <c r="J375" s="11"/>
      <c r="K375" s="11" t="s">
        <v>159</v>
      </c>
      <c r="L375" s="41">
        <v>45253</v>
      </c>
      <c r="P375" s="26" t="s">
        <v>75</v>
      </c>
    </row>
    <row r="376" spans="1:16" ht="14.4">
      <c r="A376" s="6" t="s">
        <v>657</v>
      </c>
      <c r="B376" s="7"/>
      <c r="C376" s="6"/>
      <c r="H376" s="42">
        <v>45954</v>
      </c>
      <c r="I376" s="11"/>
      <c r="J376" s="11"/>
      <c r="K376" s="11"/>
      <c r="L376" s="11"/>
    </row>
    <row r="377" spans="1:16" ht="14.4">
      <c r="A377" s="6" t="s">
        <v>658</v>
      </c>
      <c r="B377" s="7"/>
      <c r="C377" s="6"/>
      <c r="H377" s="9" t="s">
        <v>50</v>
      </c>
      <c r="I377" s="11"/>
      <c r="J377" s="11"/>
      <c r="K377" s="11"/>
      <c r="L377" s="11"/>
    </row>
    <row r="378" spans="1:16" ht="14.4">
      <c r="A378" s="6" t="s">
        <v>658</v>
      </c>
      <c r="B378" s="7"/>
      <c r="C378" s="6"/>
      <c r="H378" s="9"/>
      <c r="I378" s="10" t="s">
        <v>51</v>
      </c>
      <c r="J378" s="11"/>
      <c r="K378" s="11"/>
      <c r="L378" s="11"/>
    </row>
    <row r="379" spans="1:16" ht="14.4">
      <c r="A379" s="6" t="s">
        <v>658</v>
      </c>
      <c r="B379" s="7"/>
      <c r="C379" s="6"/>
      <c r="H379" s="9"/>
      <c r="I379" s="11"/>
      <c r="J379" s="41">
        <v>45954</v>
      </c>
      <c r="K379" s="11"/>
      <c r="L379" s="11"/>
    </row>
    <row r="380" spans="1:16" ht="14.4">
      <c r="A380" s="14" t="s">
        <v>659</v>
      </c>
      <c r="B380" s="82">
        <v>1566730883</v>
      </c>
      <c r="C380" s="14" t="s">
        <v>660</v>
      </c>
      <c r="D380" s="15">
        <v>40848</v>
      </c>
      <c r="E380" s="14"/>
      <c r="F380" s="14"/>
      <c r="G380" s="14"/>
      <c r="H380" s="10"/>
      <c r="I380" s="10"/>
      <c r="J380" s="10"/>
      <c r="K380" s="10"/>
      <c r="L380" s="10"/>
      <c r="M380" s="14"/>
      <c r="N380" s="14"/>
      <c r="O380" s="14"/>
      <c r="P380" s="14"/>
    </row>
    <row r="381" spans="1:16" ht="14.4">
      <c r="A381" s="13" t="s">
        <v>661</v>
      </c>
      <c r="B381" s="13">
        <v>1562554360</v>
      </c>
      <c r="C381" s="13" t="s">
        <v>662</v>
      </c>
      <c r="D381" s="15">
        <v>42186</v>
      </c>
      <c r="E381" s="14"/>
      <c r="F381" s="14"/>
      <c r="G381" s="14"/>
      <c r="H381" s="10"/>
      <c r="I381" s="10"/>
      <c r="J381" s="10"/>
      <c r="K381" s="10"/>
      <c r="L381" s="10"/>
      <c r="M381" s="14"/>
      <c r="N381" s="14"/>
      <c r="O381" s="14"/>
      <c r="P381" s="14"/>
    </row>
    <row r="382" spans="1:16" ht="14.4">
      <c r="A382" s="6" t="s">
        <v>663</v>
      </c>
      <c r="B382" s="7"/>
      <c r="C382" s="7"/>
      <c r="H382" s="9"/>
      <c r="I382" s="11"/>
      <c r="J382" s="11"/>
      <c r="K382" s="17" t="s">
        <v>68</v>
      </c>
      <c r="L382" s="11"/>
    </row>
    <row r="383" spans="1:16" ht="14.4">
      <c r="A383" s="7" t="s">
        <v>664</v>
      </c>
      <c r="B383" s="7"/>
      <c r="C383" s="7" t="s">
        <v>665</v>
      </c>
      <c r="H383" s="17" t="s">
        <v>20</v>
      </c>
      <c r="I383" s="11"/>
      <c r="J383" s="11"/>
      <c r="K383" s="11"/>
      <c r="L383" s="11"/>
    </row>
    <row r="384" spans="1:16" ht="14.4">
      <c r="A384" s="7" t="s">
        <v>664</v>
      </c>
      <c r="B384" s="7"/>
      <c r="C384" s="7" t="s">
        <v>665</v>
      </c>
      <c r="H384" s="9"/>
      <c r="I384" s="10" t="s">
        <v>35</v>
      </c>
      <c r="J384" s="11"/>
      <c r="K384" s="11"/>
      <c r="L384" s="11"/>
    </row>
    <row r="385" spans="1:16" ht="14.4">
      <c r="A385" s="9" t="s">
        <v>664</v>
      </c>
      <c r="B385" s="53"/>
      <c r="C385" s="6" t="s">
        <v>665</v>
      </c>
      <c r="H385" s="9"/>
      <c r="I385" s="11"/>
      <c r="J385" s="10" t="s">
        <v>67</v>
      </c>
      <c r="K385" s="11"/>
      <c r="L385" s="11"/>
    </row>
    <row r="386" spans="1:16" ht="14.4">
      <c r="A386" s="6" t="s">
        <v>666</v>
      </c>
      <c r="B386" s="62">
        <v>1566530665</v>
      </c>
      <c r="C386" s="62" t="s">
        <v>667</v>
      </c>
      <c r="D386" s="14"/>
      <c r="E386" s="14"/>
      <c r="F386" s="14"/>
      <c r="G386" s="14"/>
      <c r="H386" s="23" t="s">
        <v>132</v>
      </c>
      <c r="I386" s="63"/>
      <c r="J386" s="63"/>
      <c r="K386" s="63"/>
      <c r="L386" s="63"/>
      <c r="P386" s="14"/>
    </row>
    <row r="387" spans="1:16" ht="14.4">
      <c r="A387" s="14" t="s">
        <v>668</v>
      </c>
      <c r="B387" s="83">
        <v>1167597233</v>
      </c>
      <c r="C387" s="84" t="s">
        <v>669</v>
      </c>
      <c r="D387" s="14"/>
      <c r="E387" s="14"/>
      <c r="F387" s="14"/>
      <c r="G387" s="14"/>
      <c r="H387" s="10"/>
      <c r="I387" s="10"/>
      <c r="J387" s="10"/>
      <c r="K387" s="10"/>
      <c r="L387" s="10"/>
      <c r="M387" s="14"/>
      <c r="N387" s="14"/>
      <c r="O387" s="14"/>
      <c r="P387" s="14"/>
    </row>
    <row r="388" spans="1:16" ht="14.4">
      <c r="A388" s="13" t="s">
        <v>670</v>
      </c>
      <c r="B388" s="13">
        <v>1541579365</v>
      </c>
      <c r="C388" s="13" t="s">
        <v>671</v>
      </c>
      <c r="D388" s="15">
        <v>41518</v>
      </c>
      <c r="E388" s="14"/>
      <c r="F388" s="14"/>
      <c r="G388" s="14"/>
      <c r="H388" s="10"/>
      <c r="I388" s="10"/>
      <c r="J388" s="10"/>
      <c r="K388" s="10"/>
      <c r="L388" s="10"/>
      <c r="M388" s="14"/>
      <c r="N388" s="14"/>
      <c r="O388" s="14"/>
      <c r="P388" s="14"/>
    </row>
    <row r="389" spans="1:16" ht="14.4">
      <c r="A389" s="14" t="s">
        <v>672</v>
      </c>
      <c r="B389" s="13">
        <v>1130305630</v>
      </c>
      <c r="C389" s="14" t="s">
        <v>673</v>
      </c>
      <c r="D389" s="15">
        <v>41000</v>
      </c>
      <c r="E389" s="14"/>
      <c r="F389" s="14"/>
      <c r="G389" s="14"/>
      <c r="H389" s="10"/>
      <c r="I389" s="10"/>
      <c r="J389" s="10"/>
      <c r="K389" s="10"/>
      <c r="L389" s="10"/>
      <c r="M389" s="14"/>
      <c r="N389" s="14"/>
      <c r="O389" s="14"/>
      <c r="P389" s="14"/>
    </row>
    <row r="390" spans="1:16" ht="14.4">
      <c r="A390" s="6" t="s">
        <v>674</v>
      </c>
      <c r="B390" s="7"/>
      <c r="C390" s="6"/>
      <c r="H390" s="9" t="s">
        <v>49</v>
      </c>
      <c r="I390" s="10" t="s">
        <v>50</v>
      </c>
      <c r="J390" s="11"/>
      <c r="K390" s="11"/>
      <c r="L390" s="11"/>
    </row>
    <row r="391" spans="1:16" ht="14.4">
      <c r="A391" s="6" t="s">
        <v>674</v>
      </c>
      <c r="B391" s="7"/>
      <c r="C391" s="6"/>
      <c r="H391" s="9"/>
      <c r="I391" s="11"/>
      <c r="J391" s="10" t="s">
        <v>51</v>
      </c>
      <c r="K391" s="11"/>
      <c r="L391" s="11"/>
    </row>
    <row r="392" spans="1:16" ht="14.4">
      <c r="A392" s="14" t="s">
        <v>675</v>
      </c>
      <c r="B392" s="14" t="s">
        <v>676</v>
      </c>
      <c r="C392" s="14" t="s">
        <v>677</v>
      </c>
      <c r="D392" s="14"/>
      <c r="E392" s="14"/>
      <c r="F392" s="15">
        <v>41365</v>
      </c>
      <c r="G392" s="14"/>
      <c r="H392" s="10"/>
      <c r="I392" s="10"/>
      <c r="J392" s="10"/>
      <c r="K392" s="10"/>
      <c r="L392" s="10"/>
      <c r="M392" s="14"/>
      <c r="N392" s="14"/>
      <c r="O392" s="14"/>
      <c r="P392" s="14"/>
    </row>
    <row r="393" spans="1:16" ht="14.4">
      <c r="A393" s="6" t="s">
        <v>678</v>
      </c>
      <c r="B393" s="8">
        <v>1139418198</v>
      </c>
      <c r="C393" s="6" t="s">
        <v>679</v>
      </c>
      <c r="H393" s="9" t="s">
        <v>94</v>
      </c>
      <c r="I393" s="10" t="s">
        <v>123</v>
      </c>
      <c r="J393" s="11" t="s">
        <v>124</v>
      </c>
      <c r="K393" s="11"/>
      <c r="L393" s="11"/>
    </row>
    <row r="394" spans="1:16" ht="14.4">
      <c r="A394" s="6" t="s">
        <v>678</v>
      </c>
      <c r="B394" s="7"/>
      <c r="C394" s="6"/>
      <c r="H394" s="9" t="s">
        <v>94</v>
      </c>
      <c r="I394" s="11"/>
      <c r="J394" s="11"/>
      <c r="K394" s="11"/>
      <c r="L394" s="11"/>
    </row>
    <row r="395" spans="1:16" ht="14.4">
      <c r="A395" s="6" t="s">
        <v>680</v>
      </c>
      <c r="B395" s="7"/>
      <c r="C395" s="6" t="s">
        <v>681</v>
      </c>
      <c r="H395" s="42">
        <v>45222</v>
      </c>
      <c r="I395" s="11"/>
      <c r="J395" s="11"/>
      <c r="K395" s="11"/>
      <c r="L395" s="11"/>
    </row>
    <row r="396" spans="1:16" ht="14.4">
      <c r="A396" s="6" t="s">
        <v>680</v>
      </c>
      <c r="B396" s="7"/>
      <c r="C396" s="6" t="s">
        <v>681</v>
      </c>
      <c r="H396" s="9"/>
      <c r="I396" s="41">
        <v>45253</v>
      </c>
      <c r="J396" s="11"/>
      <c r="K396" s="11"/>
      <c r="L396" s="11"/>
    </row>
    <row r="397" spans="1:16" ht="14.4">
      <c r="A397" s="13" t="s">
        <v>682</v>
      </c>
      <c r="B397" s="14" t="s">
        <v>683</v>
      </c>
      <c r="C397" s="14" t="s">
        <v>684</v>
      </c>
      <c r="D397" s="15">
        <v>41944</v>
      </c>
      <c r="E397" s="14"/>
      <c r="F397" s="14"/>
      <c r="G397" s="14"/>
      <c r="H397" s="10"/>
      <c r="I397" s="10"/>
      <c r="J397" s="10"/>
      <c r="K397" s="10"/>
      <c r="L397" s="10"/>
      <c r="M397" s="14"/>
      <c r="N397" s="14"/>
      <c r="O397" s="14"/>
      <c r="P397" s="14"/>
    </row>
    <row r="398" spans="1:16" ht="14.4">
      <c r="A398" s="14" t="s">
        <v>685</v>
      </c>
      <c r="B398" s="14" t="s">
        <v>686</v>
      </c>
      <c r="C398" s="19" t="str">
        <f>HYPERLINK("mailto:diego.menendez@live.com.ar","diego.menendez@live.com.ar")</f>
        <v>diego.menendez@live.com.ar</v>
      </c>
      <c r="D398" s="15">
        <v>40603</v>
      </c>
      <c r="E398" s="14"/>
      <c r="F398" s="14"/>
      <c r="G398" s="14"/>
      <c r="H398" s="10"/>
      <c r="I398" s="10"/>
      <c r="J398" s="10"/>
      <c r="K398" s="10"/>
      <c r="L398" s="10"/>
      <c r="M398" s="14"/>
      <c r="N398" s="14"/>
      <c r="O398" s="14"/>
    </row>
    <row r="399" spans="1:16" ht="14.4">
      <c r="A399" s="6" t="s">
        <v>687</v>
      </c>
      <c r="B399" s="33">
        <v>1157977327</v>
      </c>
      <c r="C399" s="6" t="s">
        <v>688</v>
      </c>
      <c r="D399" t="s">
        <v>689</v>
      </c>
      <c r="H399" s="22"/>
      <c r="I399" s="11"/>
      <c r="J399" s="11"/>
      <c r="K399" s="11"/>
      <c r="L399" s="11"/>
    </row>
    <row r="400" spans="1:16" ht="14.4">
      <c r="A400" s="13" t="s">
        <v>690</v>
      </c>
      <c r="B400" s="13">
        <v>1556942671</v>
      </c>
      <c r="C400" s="14" t="s">
        <v>691</v>
      </c>
      <c r="D400" s="14"/>
      <c r="E400" s="14"/>
      <c r="F400" s="14"/>
      <c r="G400" s="14"/>
      <c r="H400" s="10"/>
      <c r="I400" s="10"/>
      <c r="J400" s="10"/>
      <c r="K400" s="10"/>
      <c r="L400" s="10"/>
      <c r="M400" s="15">
        <v>42064</v>
      </c>
      <c r="N400" s="14"/>
      <c r="O400" s="14"/>
      <c r="P400" s="14"/>
    </row>
    <row r="401" spans="1:16" ht="14.4">
      <c r="A401" s="14" t="s">
        <v>692</v>
      </c>
      <c r="B401" s="14"/>
      <c r="C401" s="19" t="str">
        <f>HYPERLINK("mailto:indy3d@gmail.com","indy3d@gmail.com")</f>
        <v>indy3d@gmail.com</v>
      </c>
      <c r="D401" s="14"/>
      <c r="E401" s="15">
        <v>41365</v>
      </c>
      <c r="F401" s="14"/>
      <c r="G401" s="14"/>
      <c r="H401" s="10"/>
      <c r="I401" s="10"/>
      <c r="J401" s="10"/>
      <c r="K401" s="10"/>
      <c r="L401" s="10"/>
      <c r="M401" s="14"/>
      <c r="N401" s="14"/>
      <c r="O401" s="14"/>
      <c r="P401" s="14"/>
    </row>
    <row r="402" spans="1:16" ht="14.4">
      <c r="A402" s="6" t="s">
        <v>693</v>
      </c>
      <c r="B402" s="7"/>
      <c r="C402" s="7"/>
      <c r="D402" s="8">
        <v>14300</v>
      </c>
      <c r="H402" s="9"/>
      <c r="I402" s="11"/>
      <c r="J402" s="11"/>
      <c r="K402" s="11"/>
      <c r="L402" s="41">
        <v>45253</v>
      </c>
    </row>
    <row r="403" spans="1:16" ht="14.4">
      <c r="A403" s="6" t="s">
        <v>693</v>
      </c>
      <c r="B403" s="7"/>
      <c r="C403" s="6"/>
      <c r="H403" s="9"/>
      <c r="I403" s="9" t="s">
        <v>123</v>
      </c>
      <c r="J403" s="11" t="s">
        <v>124</v>
      </c>
      <c r="K403" s="11"/>
      <c r="L403" s="11"/>
    </row>
    <row r="404" spans="1:16" ht="14.4">
      <c r="A404" s="14" t="s">
        <v>694</v>
      </c>
      <c r="B404" s="14" t="s">
        <v>695</v>
      </c>
      <c r="C404" s="19" t="str">
        <f>HYPERLINK("mailto:dsajaroff@hotmail.com","dsajaroff@hotmail.com")</f>
        <v>dsajaroff@hotmail.com</v>
      </c>
      <c r="D404" s="14"/>
      <c r="E404" s="14"/>
      <c r="F404" s="15">
        <v>41000</v>
      </c>
      <c r="G404" s="14"/>
      <c r="H404" s="10"/>
      <c r="I404" s="10"/>
      <c r="J404" s="10"/>
      <c r="K404" s="10"/>
      <c r="L404" s="10"/>
      <c r="M404" s="14"/>
      <c r="N404" s="14"/>
      <c r="O404" s="14"/>
      <c r="P404" s="14"/>
    </row>
    <row r="405" spans="1:16" ht="14.4">
      <c r="A405" s="9" t="s">
        <v>696</v>
      </c>
      <c r="B405" s="7"/>
      <c r="C405" s="6" t="s">
        <v>697</v>
      </c>
      <c r="H405" s="42">
        <v>45222</v>
      </c>
      <c r="I405" s="11"/>
      <c r="J405" s="11"/>
      <c r="K405" s="11"/>
      <c r="L405" s="11"/>
    </row>
    <row r="406" spans="1:16" ht="14.4">
      <c r="A406" s="6" t="s">
        <v>696</v>
      </c>
      <c r="B406" s="7"/>
      <c r="C406" s="6" t="s">
        <v>697</v>
      </c>
      <c r="H406" s="9"/>
      <c r="I406" s="11"/>
      <c r="J406" s="11"/>
      <c r="K406" s="17" t="s">
        <v>68</v>
      </c>
      <c r="L406" s="11"/>
    </row>
    <row r="407" spans="1:16" ht="14.4">
      <c r="A407" s="6" t="s">
        <v>698</v>
      </c>
      <c r="B407" s="7"/>
      <c r="C407" s="7"/>
      <c r="H407" s="9"/>
      <c r="I407" s="11"/>
      <c r="J407" s="11"/>
      <c r="K407" s="17" t="s">
        <v>20</v>
      </c>
      <c r="L407" s="11"/>
    </row>
    <row r="408" spans="1:16" ht="14.4">
      <c r="A408" s="14" t="s">
        <v>699</v>
      </c>
      <c r="B408" s="14" t="s">
        <v>700</v>
      </c>
      <c r="C408" s="19" t="str">
        <f>HYPERLINK("mailto:diego.zanandrea@gmail.com","diego.zanandrea@gmail.com")</f>
        <v>diego.zanandrea@gmail.com</v>
      </c>
      <c r="D408" s="14"/>
      <c r="E408" s="14"/>
      <c r="F408" s="15">
        <v>41487</v>
      </c>
      <c r="G408" s="15">
        <v>41760</v>
      </c>
      <c r="H408" s="10"/>
      <c r="I408" s="10"/>
      <c r="J408" s="10"/>
      <c r="K408" s="10"/>
      <c r="L408" s="10"/>
      <c r="M408" s="15">
        <v>42125</v>
      </c>
      <c r="N408" s="14"/>
      <c r="O408" s="14"/>
      <c r="P408" s="14"/>
    </row>
    <row r="409" spans="1:16" ht="14.4">
      <c r="A409" s="14" t="s">
        <v>701</v>
      </c>
      <c r="B409" s="14"/>
      <c r="C409" s="14" t="s">
        <v>702</v>
      </c>
      <c r="D409" s="14"/>
      <c r="E409" s="15">
        <v>41518</v>
      </c>
      <c r="F409" s="14"/>
      <c r="G409" s="14"/>
      <c r="H409" s="10"/>
      <c r="I409" s="10"/>
      <c r="J409" s="10"/>
      <c r="K409" s="10"/>
      <c r="L409" s="10"/>
      <c r="M409" s="14"/>
      <c r="N409" s="14"/>
      <c r="O409" s="14"/>
      <c r="P409" s="14"/>
    </row>
    <row r="410" spans="1:16" ht="14.4">
      <c r="A410" s="37" t="s">
        <v>703</v>
      </c>
      <c r="B410" s="38" t="s">
        <v>704</v>
      </c>
      <c r="C410" s="26" t="s">
        <v>705</v>
      </c>
      <c r="E410" s="39">
        <v>43149</v>
      </c>
      <c r="H410" s="22"/>
      <c r="I410" s="11"/>
      <c r="J410" s="11"/>
      <c r="K410" s="11"/>
      <c r="L410" s="11"/>
      <c r="P410" s="14"/>
    </row>
    <row r="411" spans="1:16" ht="14.4">
      <c r="A411" s="6" t="s">
        <v>706</v>
      </c>
      <c r="B411" s="7"/>
      <c r="C411" s="6"/>
      <c r="H411" s="9" t="s">
        <v>51</v>
      </c>
      <c r="I411" s="11"/>
      <c r="J411" s="11"/>
      <c r="K411" s="11"/>
      <c r="L411" s="11"/>
    </row>
    <row r="412" spans="1:16" ht="14.4">
      <c r="A412" s="14" t="s">
        <v>707</v>
      </c>
      <c r="B412" s="85" t="s">
        <v>708</v>
      </c>
      <c r="C412" s="19" t="str">
        <f>HYPERLINK("mailto:edimabgarcia@gmail.com","edimabgarcia@gmail.com")</f>
        <v>edimabgarcia@gmail.com</v>
      </c>
      <c r="D412" s="15"/>
      <c r="E412" s="15">
        <v>41365</v>
      </c>
      <c r="F412" s="14"/>
      <c r="G412" s="14"/>
      <c r="H412" s="10"/>
      <c r="I412" s="10"/>
      <c r="J412" s="10"/>
      <c r="K412" s="10"/>
      <c r="L412" s="10"/>
      <c r="M412" s="14"/>
      <c r="N412" s="14"/>
      <c r="O412" s="14"/>
      <c r="P412" s="14"/>
    </row>
    <row r="413" spans="1:16" ht="14.4">
      <c r="A413" s="14" t="s">
        <v>709</v>
      </c>
      <c r="B413" s="14" t="s">
        <v>710</v>
      </c>
      <c r="C413" s="19" t="str">
        <f>HYPERLINK("mailto:egaldi@eduardogaldi.com.ar","egaldi@eduardogaldi.com.ar")</f>
        <v>egaldi@eduardogaldi.com.ar</v>
      </c>
      <c r="D413" s="15">
        <v>41122</v>
      </c>
      <c r="E413" s="14"/>
      <c r="F413" s="14"/>
      <c r="G413" s="14"/>
      <c r="H413" s="10"/>
      <c r="I413" s="10"/>
      <c r="J413" s="10"/>
      <c r="K413" s="10"/>
      <c r="L413" s="10"/>
      <c r="M413" s="14"/>
      <c r="N413" s="14"/>
      <c r="O413" s="14"/>
      <c r="P413" s="14"/>
    </row>
    <row r="414" spans="1:16" ht="14.4">
      <c r="A414" s="14" t="s">
        <v>711</v>
      </c>
      <c r="B414" s="13">
        <v>1560128265</v>
      </c>
      <c r="C414" s="19" t="str">
        <f>HYPERLINK("mailto:rubenbenitez19@hotmail.com","rubenbenitez19@hotmail.com")</f>
        <v>rubenbenitez19@hotmail.com</v>
      </c>
      <c r="D414" s="15">
        <v>41000</v>
      </c>
      <c r="E414" s="14"/>
      <c r="F414" s="14"/>
      <c r="G414" s="14"/>
      <c r="H414" s="10"/>
      <c r="I414" s="10"/>
      <c r="J414" s="10"/>
      <c r="K414" s="10"/>
      <c r="L414" s="10"/>
      <c r="M414" s="14"/>
      <c r="N414" s="14"/>
      <c r="O414" s="14"/>
      <c r="P414" s="14"/>
    </row>
    <row r="415" spans="1:16" ht="14.4">
      <c r="A415" s="86" t="s">
        <v>712</v>
      </c>
      <c r="B415" s="87" t="s">
        <v>713</v>
      </c>
      <c r="C415" s="87" t="s">
        <v>714</v>
      </c>
      <c r="D415" s="49">
        <v>43421</v>
      </c>
      <c r="E415" s="14"/>
      <c r="F415" s="14"/>
      <c r="G415" s="6"/>
      <c r="H415" s="9"/>
      <c r="I415" s="10"/>
      <c r="J415" s="10"/>
      <c r="K415" s="10"/>
      <c r="L415" s="10"/>
      <c r="P415" s="14"/>
    </row>
    <row r="416" spans="1:16" ht="14.4">
      <c r="A416" s="6" t="s">
        <v>715</v>
      </c>
      <c r="B416" s="7"/>
      <c r="C416" s="6" t="s">
        <v>716</v>
      </c>
      <c r="H416" s="9" t="s">
        <v>67</v>
      </c>
      <c r="I416" s="11"/>
      <c r="J416" s="11"/>
      <c r="K416" s="11"/>
      <c r="L416" s="11"/>
    </row>
    <row r="417" spans="1:17" ht="14.4">
      <c r="A417" s="9" t="s">
        <v>717</v>
      </c>
      <c r="B417" s="7"/>
      <c r="C417" s="6"/>
      <c r="H417" s="9"/>
      <c r="I417" s="11"/>
      <c r="J417" s="41">
        <v>45954</v>
      </c>
      <c r="K417" s="11"/>
      <c r="L417" s="11"/>
    </row>
    <row r="418" spans="1:17" ht="14.4">
      <c r="A418" s="6" t="s">
        <v>718</v>
      </c>
      <c r="B418" s="7"/>
      <c r="C418" s="6"/>
      <c r="H418" s="9" t="s">
        <v>50</v>
      </c>
      <c r="I418" s="11"/>
      <c r="J418" s="11"/>
      <c r="K418" s="11"/>
      <c r="L418" s="11"/>
    </row>
    <row r="419" spans="1:17" ht="14.4">
      <c r="A419" s="6" t="s">
        <v>718</v>
      </c>
      <c r="B419" s="7"/>
      <c r="C419" s="6"/>
      <c r="H419" s="9"/>
      <c r="I419" s="10" t="s">
        <v>51</v>
      </c>
      <c r="J419" s="11"/>
      <c r="K419" s="11"/>
      <c r="L419" s="11"/>
    </row>
    <row r="420" spans="1:17" ht="14.4">
      <c r="A420" s="14" t="s">
        <v>719</v>
      </c>
      <c r="B420" s="13">
        <v>1565349036</v>
      </c>
      <c r="C420" s="19" t="str">
        <f>HYPERLINK("mailto:hpatricio@hotmail.com","hpatricio@hotmail.com")</f>
        <v>hpatricio@hotmail.com</v>
      </c>
      <c r="D420" s="15">
        <v>41214</v>
      </c>
      <c r="E420" s="14"/>
      <c r="F420" s="14"/>
      <c r="G420" s="14"/>
      <c r="H420" s="10"/>
      <c r="I420" s="10"/>
      <c r="J420" s="10"/>
      <c r="K420" s="10"/>
      <c r="L420" s="10"/>
      <c r="M420" s="14"/>
      <c r="N420" s="14"/>
      <c r="O420" s="14"/>
      <c r="P420" s="14"/>
    </row>
    <row r="421" spans="1:17" ht="14.4">
      <c r="A421" s="14" t="s">
        <v>720</v>
      </c>
      <c r="B421" s="13">
        <v>1131826976</v>
      </c>
      <c r="C421" s="14" t="s">
        <v>721</v>
      </c>
      <c r="D421" s="14"/>
      <c r="E421" s="14"/>
      <c r="F421" s="14"/>
      <c r="G421" s="6"/>
      <c r="H421" s="30" t="s">
        <v>71</v>
      </c>
      <c r="I421" s="10"/>
      <c r="J421" s="11"/>
      <c r="K421" s="10" t="s">
        <v>74</v>
      </c>
      <c r="L421" s="11"/>
      <c r="P421" s="14"/>
    </row>
    <row r="422" spans="1:17" ht="14.4">
      <c r="A422" s="25" t="s">
        <v>722</v>
      </c>
      <c r="B422" s="26" t="s">
        <v>723</v>
      </c>
      <c r="C422" s="88" t="s">
        <v>724</v>
      </c>
      <c r="D422" s="14" t="s">
        <v>90</v>
      </c>
      <c r="H422" s="22"/>
      <c r="I422" s="11"/>
      <c r="J422" s="11"/>
      <c r="K422" s="11"/>
      <c r="L422" s="11"/>
      <c r="P422" s="14"/>
    </row>
    <row r="423" spans="1:17" ht="14.4">
      <c r="A423" s="14" t="s">
        <v>725</v>
      </c>
      <c r="B423" s="13">
        <v>1533524478</v>
      </c>
      <c r="C423" s="19" t="str">
        <f>HYPERLINK("mailto:Edy1975@hotmail.com","Edy1975@hotmail.com")</f>
        <v>Edy1975@hotmail.com</v>
      </c>
      <c r="D423" s="15">
        <v>41214</v>
      </c>
      <c r="E423" s="14"/>
      <c r="F423" s="15">
        <v>41365</v>
      </c>
      <c r="G423" s="14"/>
      <c r="H423" s="10"/>
      <c r="I423" s="10"/>
      <c r="J423" s="10"/>
      <c r="K423" s="10"/>
      <c r="L423" s="10"/>
      <c r="M423" s="14"/>
      <c r="N423" s="14"/>
      <c r="O423" s="14"/>
      <c r="P423" s="14"/>
    </row>
    <row r="424" spans="1:17" ht="14.4">
      <c r="A424" s="14" t="s">
        <v>726</v>
      </c>
      <c r="B424" s="14" t="s">
        <v>727</v>
      </c>
      <c r="C424" s="19" t="str">
        <f>HYPERLINK("mailto:edurnelab@gmail.com","edurnelab@gmail.com")</f>
        <v>edurnelab@gmail.com</v>
      </c>
      <c r="D424" s="15">
        <v>41730</v>
      </c>
      <c r="E424" s="14"/>
      <c r="F424" s="14"/>
      <c r="G424" s="14"/>
      <c r="H424" s="10"/>
      <c r="I424" s="10"/>
      <c r="J424" s="10"/>
      <c r="K424" s="10"/>
      <c r="L424" s="10"/>
      <c r="M424" s="14"/>
      <c r="N424" s="14"/>
      <c r="O424" s="14"/>
    </row>
    <row r="425" spans="1:17" ht="14.4">
      <c r="A425" s="6" t="s">
        <v>728</v>
      </c>
      <c r="B425" s="30">
        <v>1158794861</v>
      </c>
      <c r="C425" s="28" t="s">
        <v>729</v>
      </c>
      <c r="H425" s="22" t="s">
        <v>275</v>
      </c>
      <c r="I425" s="11"/>
      <c r="J425" s="11"/>
      <c r="K425" s="11"/>
      <c r="L425" s="11"/>
    </row>
    <row r="426" spans="1:17" ht="14.4">
      <c r="A426" s="6" t="s">
        <v>728</v>
      </c>
      <c r="B426" s="30">
        <v>1158794861</v>
      </c>
      <c r="C426" s="89" t="s">
        <v>729</v>
      </c>
      <c r="H426" s="53" t="s">
        <v>730</v>
      </c>
      <c r="I426" s="11"/>
      <c r="J426" s="11"/>
      <c r="K426" s="11"/>
      <c r="L426" s="11"/>
    </row>
    <row r="427" spans="1:17" ht="14.4">
      <c r="A427" s="6" t="s">
        <v>731</v>
      </c>
      <c r="B427" s="7"/>
      <c r="C427" s="6"/>
      <c r="H427" s="9" t="s">
        <v>50</v>
      </c>
      <c r="I427" s="11"/>
      <c r="J427" s="11"/>
      <c r="K427" s="11"/>
      <c r="L427" s="11"/>
    </row>
    <row r="428" spans="1:17" ht="14.4">
      <c r="A428" s="6" t="s">
        <v>731</v>
      </c>
      <c r="B428" s="7"/>
      <c r="C428" s="6"/>
      <c r="H428" s="9"/>
      <c r="I428" s="10" t="s">
        <v>51</v>
      </c>
      <c r="J428" s="11"/>
      <c r="K428" s="11"/>
      <c r="L428" s="11"/>
    </row>
    <row r="429" spans="1:17" ht="14.4">
      <c r="A429" s="6" t="s">
        <v>731</v>
      </c>
      <c r="B429" s="7"/>
      <c r="C429" s="6"/>
      <c r="H429" s="9"/>
      <c r="I429" s="11"/>
      <c r="J429" s="41">
        <v>45954</v>
      </c>
      <c r="K429" s="11"/>
      <c r="L429" s="11"/>
    </row>
    <row r="430" spans="1:17" ht="14.4">
      <c r="A430" s="6" t="s">
        <v>731</v>
      </c>
      <c r="B430" s="7"/>
      <c r="C430" s="7"/>
      <c r="H430" s="9"/>
      <c r="I430" s="11"/>
      <c r="J430" s="11"/>
      <c r="K430" s="11"/>
      <c r="L430" s="11"/>
      <c r="Q430" s="16">
        <v>45833</v>
      </c>
    </row>
    <row r="431" spans="1:17" ht="14.4">
      <c r="A431" s="6" t="s">
        <v>731</v>
      </c>
      <c r="B431" s="7"/>
      <c r="C431" s="7"/>
      <c r="H431" s="9"/>
      <c r="I431" s="11"/>
      <c r="J431" s="11"/>
      <c r="K431" s="11" t="s">
        <v>22</v>
      </c>
      <c r="L431" s="11"/>
    </row>
    <row r="432" spans="1:17" ht="14.4">
      <c r="A432" s="14" t="s">
        <v>732</v>
      </c>
      <c r="B432" s="14" t="s">
        <v>733</v>
      </c>
      <c r="C432" s="47" t="s">
        <v>734</v>
      </c>
      <c r="D432" s="15">
        <v>41334</v>
      </c>
      <c r="E432" s="14"/>
      <c r="F432" s="14"/>
      <c r="G432" s="14"/>
      <c r="H432" s="10"/>
      <c r="I432" s="10"/>
      <c r="J432" s="10"/>
      <c r="K432" s="10"/>
      <c r="L432" s="10"/>
      <c r="M432" s="14"/>
      <c r="N432" s="14"/>
      <c r="O432" s="14"/>
      <c r="P432" s="14"/>
    </row>
    <row r="433" spans="1:17" ht="14.4">
      <c r="A433" s="14" t="s">
        <v>735</v>
      </c>
      <c r="B433" s="13">
        <v>1167171152</v>
      </c>
      <c r="C433" s="19" t="str">
        <f>HYPERLINK("mailto:elena.tencer@gmail.com","elena.tencer@gmail.com")</f>
        <v>elena.tencer@gmail.com</v>
      </c>
      <c r="D433" s="15">
        <v>41395</v>
      </c>
      <c r="E433" s="14"/>
      <c r="F433" s="14"/>
      <c r="G433" s="14"/>
      <c r="H433" s="10"/>
      <c r="I433" s="10"/>
      <c r="J433" s="10"/>
      <c r="K433" s="10"/>
      <c r="L433" s="10"/>
      <c r="M433" s="14"/>
      <c r="N433" s="14"/>
      <c r="O433" s="14"/>
      <c r="P433" s="14"/>
    </row>
    <row r="434" spans="1:17" ht="14.4">
      <c r="A434" s="14" t="s">
        <v>736</v>
      </c>
      <c r="B434" s="14"/>
      <c r="C434" s="19" t="str">
        <f>HYPERLINK("mailto:eligalanternik@hotmail.com","eligalanternik@hotmail.com")</f>
        <v>eligalanternik@hotmail.com</v>
      </c>
      <c r="D434" s="14"/>
      <c r="E434" s="15">
        <v>41456</v>
      </c>
      <c r="F434" s="14"/>
      <c r="G434" s="14"/>
      <c r="H434" s="10"/>
      <c r="I434" s="10"/>
      <c r="J434" s="10"/>
      <c r="K434" s="10"/>
      <c r="L434" s="10"/>
      <c r="M434" s="14"/>
      <c r="N434" s="14"/>
      <c r="O434" s="14"/>
      <c r="P434" s="14"/>
    </row>
    <row r="435" spans="1:17" ht="14.4">
      <c r="A435" s="6" t="s">
        <v>737</v>
      </c>
      <c r="B435" s="7"/>
      <c r="C435" s="7"/>
      <c r="H435" s="9"/>
      <c r="I435" s="11"/>
      <c r="J435" s="11"/>
      <c r="K435" s="11"/>
      <c r="L435" s="11"/>
      <c r="Q435" s="16">
        <v>45713</v>
      </c>
    </row>
    <row r="436" spans="1:17" ht="14.4">
      <c r="A436" s="13" t="s">
        <v>738</v>
      </c>
      <c r="B436" s="13">
        <v>1532949502</v>
      </c>
      <c r="C436" s="13" t="s">
        <v>739</v>
      </c>
      <c r="D436" s="21" t="s">
        <v>177</v>
      </c>
      <c r="E436" s="14"/>
      <c r="F436" s="14"/>
      <c r="G436" s="14"/>
      <c r="H436" s="10"/>
      <c r="I436" s="10"/>
      <c r="J436" s="10"/>
      <c r="K436" s="10"/>
      <c r="L436" s="10"/>
      <c r="M436" s="14"/>
      <c r="N436" s="14"/>
      <c r="O436" s="15">
        <v>42856</v>
      </c>
      <c r="P436" s="14"/>
    </row>
    <row r="437" spans="1:17" ht="14.4">
      <c r="A437" s="10" t="s">
        <v>740</v>
      </c>
      <c r="B437" s="17">
        <v>1151545867</v>
      </c>
      <c r="C437" s="17" t="s">
        <v>741</v>
      </c>
      <c r="H437" s="23" t="s">
        <v>742</v>
      </c>
      <c r="I437" s="11"/>
      <c r="J437" s="11"/>
      <c r="K437" s="11"/>
      <c r="L437" s="11"/>
      <c r="P437" s="14"/>
    </row>
    <row r="438" spans="1:17" ht="14.4">
      <c r="A438" s="6" t="s">
        <v>743</v>
      </c>
      <c r="B438" s="7"/>
      <c r="C438" s="6" t="s">
        <v>744</v>
      </c>
      <c r="H438" s="9" t="s">
        <v>67</v>
      </c>
      <c r="I438" s="11"/>
      <c r="J438" s="11"/>
      <c r="K438" s="11"/>
      <c r="L438" s="11"/>
    </row>
    <row r="439" spans="1:17" ht="14.4">
      <c r="A439" s="6" t="s">
        <v>745</v>
      </c>
      <c r="B439" s="29">
        <v>348715683079</v>
      </c>
      <c r="C439" s="18" t="s">
        <v>746</v>
      </c>
      <c r="H439" s="22"/>
      <c r="I439" s="11"/>
      <c r="J439" s="11"/>
      <c r="K439" s="11" t="s">
        <v>110</v>
      </c>
      <c r="L439" s="11"/>
    </row>
    <row r="440" spans="1:17" ht="14.4">
      <c r="A440" s="6" t="s">
        <v>745</v>
      </c>
      <c r="B440" s="29">
        <v>348715683079</v>
      </c>
      <c r="C440" s="18" t="s">
        <v>746</v>
      </c>
      <c r="H440" s="40">
        <v>45252</v>
      </c>
      <c r="I440" s="11"/>
      <c r="J440" s="11"/>
      <c r="K440" s="11"/>
      <c r="L440" s="11"/>
    </row>
    <row r="441" spans="1:17" ht="14.4">
      <c r="A441" s="10" t="s">
        <v>747</v>
      </c>
      <c r="B441" s="13" t="s">
        <v>748</v>
      </c>
      <c r="C441" s="10" t="s">
        <v>749</v>
      </c>
      <c r="D441" s="14"/>
      <c r="E441" s="21" t="s">
        <v>314</v>
      </c>
      <c r="F441" s="14"/>
      <c r="G441" s="14"/>
      <c r="H441" s="10"/>
      <c r="I441" s="10"/>
      <c r="J441" s="10"/>
      <c r="K441" s="10"/>
      <c r="L441" s="10"/>
      <c r="M441" s="14"/>
      <c r="N441" s="14"/>
      <c r="O441" s="14"/>
      <c r="P441" s="14"/>
    </row>
    <row r="442" spans="1:17" ht="14.4">
      <c r="A442" s="6" t="s">
        <v>750</v>
      </c>
      <c r="B442" s="33">
        <v>3814043262</v>
      </c>
      <c r="C442" s="6" t="s">
        <v>751</v>
      </c>
      <c r="H442" s="43" t="s">
        <v>143</v>
      </c>
      <c r="I442" s="10" t="s">
        <v>268</v>
      </c>
      <c r="J442" s="11"/>
      <c r="K442" s="11"/>
      <c r="L442" s="11"/>
    </row>
    <row r="443" spans="1:17" ht="14.4">
      <c r="A443" s="14" t="s">
        <v>752</v>
      </c>
      <c r="B443" s="14"/>
      <c r="C443" s="19" t="str">
        <f>HYPERLINK("mailto:elsaarmentano@yahoo.com","elsaarmentano@yahoo.com")</f>
        <v>elsaarmentano@yahoo.com</v>
      </c>
      <c r="D443" s="14"/>
      <c r="E443" s="15">
        <v>41671</v>
      </c>
      <c r="F443" s="14"/>
      <c r="G443" s="14"/>
      <c r="H443" s="10"/>
      <c r="I443" s="10"/>
      <c r="J443" s="10"/>
      <c r="K443" s="10"/>
      <c r="L443" s="10"/>
      <c r="M443" s="14"/>
      <c r="N443" s="14"/>
      <c r="O443" s="14"/>
    </row>
    <row r="444" spans="1:17" ht="14.4">
      <c r="A444" s="14" t="s">
        <v>753</v>
      </c>
      <c r="B444" s="13">
        <v>1522663932</v>
      </c>
      <c r="C444" s="14" t="s">
        <v>754</v>
      </c>
      <c r="D444" s="14"/>
      <c r="E444" s="49">
        <v>42903</v>
      </c>
      <c r="F444" s="14"/>
      <c r="G444" s="14"/>
      <c r="H444" s="10"/>
      <c r="I444" s="10"/>
      <c r="J444" s="10"/>
      <c r="K444" s="10"/>
      <c r="L444" s="10"/>
      <c r="M444" s="14"/>
      <c r="N444" s="14"/>
      <c r="O444" s="14"/>
      <c r="P444" s="14"/>
    </row>
    <row r="445" spans="1:17" ht="14.4">
      <c r="A445" s="14" t="s">
        <v>755</v>
      </c>
      <c r="B445" s="14" t="s">
        <v>756</v>
      </c>
      <c r="C445" s="19" t="str">
        <f>HYPERLINK("mailto:edfreiberg@yahoo.com.ar","edfreiberg@yahoo.com.ar")</f>
        <v>edfreiberg@yahoo.com.ar</v>
      </c>
      <c r="D445" s="14"/>
      <c r="E445" s="14"/>
      <c r="F445" s="15">
        <v>41000</v>
      </c>
      <c r="G445" s="14"/>
      <c r="H445" s="10"/>
      <c r="I445" s="10"/>
      <c r="J445" s="10"/>
      <c r="K445" s="10"/>
      <c r="L445" s="10"/>
      <c r="M445" s="14"/>
      <c r="N445" s="14"/>
      <c r="O445" s="14"/>
      <c r="P445" s="14"/>
    </row>
    <row r="446" spans="1:17" ht="14.4">
      <c r="A446" s="14" t="s">
        <v>757</v>
      </c>
      <c r="B446" s="14" t="s">
        <v>758</v>
      </c>
      <c r="C446" s="19" t="str">
        <f>HYPERLINK("mailto:emylyo@gmail.com","emylyo@gmail.com")</f>
        <v>emylyo@gmail.com</v>
      </c>
      <c r="D446" s="15">
        <v>41334</v>
      </c>
      <c r="E446" s="14"/>
      <c r="F446" s="15">
        <v>41426</v>
      </c>
      <c r="G446" s="14"/>
      <c r="H446" s="20">
        <v>41395</v>
      </c>
      <c r="I446" s="10"/>
      <c r="J446" s="10"/>
      <c r="K446" s="10"/>
      <c r="L446" s="10"/>
      <c r="M446" s="14"/>
      <c r="N446" s="14"/>
      <c r="O446" s="14"/>
      <c r="P446" s="14"/>
    </row>
    <row r="447" spans="1:17" ht="14.4">
      <c r="A447" s="6" t="s">
        <v>759</v>
      </c>
      <c r="B447" s="7"/>
      <c r="C447" s="7"/>
      <c r="H447" s="9" t="s">
        <v>123</v>
      </c>
      <c r="I447" s="11"/>
      <c r="J447" s="11"/>
      <c r="K447" s="11"/>
      <c r="L447" s="11"/>
    </row>
    <row r="448" spans="1:17" ht="14.4">
      <c r="A448" s="6" t="s">
        <v>760</v>
      </c>
      <c r="B448" s="7"/>
      <c r="C448" s="7"/>
      <c r="H448" s="9" t="s">
        <v>82</v>
      </c>
      <c r="I448" s="11"/>
      <c r="J448" s="11"/>
      <c r="K448" s="11"/>
      <c r="L448" s="11"/>
    </row>
    <row r="449" spans="1:16" ht="14.4">
      <c r="A449" s="9" t="s">
        <v>760</v>
      </c>
      <c r="B449" s="7"/>
      <c r="C449" s="7"/>
      <c r="H449" s="9"/>
      <c r="I449" s="35">
        <v>45713</v>
      </c>
      <c r="J449" s="11"/>
      <c r="K449" s="11"/>
      <c r="L449" s="11"/>
    </row>
    <row r="450" spans="1:16" ht="14.4">
      <c r="A450" s="6" t="s">
        <v>761</v>
      </c>
      <c r="B450" s="7"/>
      <c r="C450" s="6" t="s">
        <v>762</v>
      </c>
      <c r="H450" s="9" t="s">
        <v>159</v>
      </c>
      <c r="I450" s="11"/>
      <c r="J450" s="11"/>
      <c r="K450" s="11"/>
      <c r="L450" s="11"/>
    </row>
    <row r="451" spans="1:16" ht="14.4">
      <c r="A451" s="7" t="s">
        <v>761</v>
      </c>
      <c r="B451" s="7"/>
      <c r="C451" s="7" t="s">
        <v>762</v>
      </c>
      <c r="H451" s="9" t="s">
        <v>75</v>
      </c>
      <c r="I451" s="11"/>
      <c r="J451" s="11"/>
      <c r="K451" s="11"/>
      <c r="L451" s="11"/>
    </row>
    <row r="452" spans="1:16" ht="14.4">
      <c r="A452" s="14" t="s">
        <v>763</v>
      </c>
      <c r="B452" s="13">
        <v>1561246172</v>
      </c>
      <c r="C452" s="14" t="s">
        <v>764</v>
      </c>
      <c r="D452" s="15">
        <v>42095</v>
      </c>
      <c r="E452" s="14"/>
      <c r="F452" s="14"/>
      <c r="G452" s="14"/>
      <c r="H452" s="10"/>
      <c r="I452" s="10"/>
      <c r="J452" s="10"/>
      <c r="K452" s="10"/>
      <c r="L452" s="10"/>
      <c r="M452" s="14"/>
      <c r="N452" s="14"/>
      <c r="O452" s="14"/>
      <c r="P452" s="14"/>
    </row>
    <row r="453" spans="1:16" ht="14.4">
      <c r="A453" s="14" t="s">
        <v>765</v>
      </c>
      <c r="B453" s="14" t="s">
        <v>766</v>
      </c>
      <c r="C453" s="19" t="str">
        <f>HYPERLINK("mailto:enriquetacabred@gmail.com","enriquetacabred@gmail.com")</f>
        <v>enriquetacabred@gmail.com</v>
      </c>
      <c r="D453" s="15">
        <v>40664</v>
      </c>
      <c r="E453" s="14"/>
      <c r="F453" s="14"/>
      <c r="G453" s="14"/>
      <c r="H453" s="10"/>
      <c r="I453" s="10"/>
      <c r="J453" s="10"/>
      <c r="K453" s="10"/>
      <c r="L453" s="10"/>
      <c r="M453" s="14"/>
      <c r="N453" s="14"/>
      <c r="O453" s="14"/>
      <c r="P453" s="14"/>
    </row>
    <row r="454" spans="1:16" ht="14.4">
      <c r="A454" s="6" t="s">
        <v>767</v>
      </c>
      <c r="B454" s="7"/>
      <c r="C454" s="6" t="s">
        <v>768</v>
      </c>
      <c r="H454" s="17" t="s">
        <v>19</v>
      </c>
      <c r="I454" s="11"/>
      <c r="J454" s="11"/>
      <c r="K454" s="11"/>
      <c r="L454" s="11"/>
    </row>
    <row r="455" spans="1:16" ht="14.4">
      <c r="A455" s="6" t="s">
        <v>767</v>
      </c>
      <c r="B455" s="7"/>
      <c r="C455" s="6" t="s">
        <v>768</v>
      </c>
      <c r="H455" s="9"/>
      <c r="I455" s="10" t="s">
        <v>20</v>
      </c>
      <c r="J455" s="11"/>
      <c r="K455" s="11"/>
      <c r="L455" s="11"/>
    </row>
    <row r="456" spans="1:16" ht="14.4">
      <c r="A456" s="6" t="s">
        <v>769</v>
      </c>
      <c r="B456" s="7"/>
      <c r="C456" s="6" t="s">
        <v>770</v>
      </c>
      <c r="H456" s="9" t="s">
        <v>67</v>
      </c>
      <c r="I456" s="11"/>
      <c r="J456" s="11"/>
      <c r="K456" s="11"/>
      <c r="L456" s="11"/>
    </row>
    <row r="457" spans="1:16" ht="14.4">
      <c r="A457" s="9" t="s">
        <v>769</v>
      </c>
      <c r="B457" s="7"/>
      <c r="C457" s="6" t="s">
        <v>770</v>
      </c>
      <c r="H457" s="9"/>
      <c r="I457" s="10" t="s">
        <v>68</v>
      </c>
      <c r="J457" s="11"/>
      <c r="K457" s="11"/>
      <c r="L457" s="11"/>
    </row>
    <row r="458" spans="1:16" ht="14.4">
      <c r="A458" s="6" t="s">
        <v>771</v>
      </c>
      <c r="B458" s="67">
        <v>1150049031</v>
      </c>
      <c r="C458" s="68" t="s">
        <v>772</v>
      </c>
      <c r="H458" s="9" t="s">
        <v>260</v>
      </c>
      <c r="I458" s="11"/>
      <c r="J458" s="11"/>
      <c r="K458" s="11"/>
      <c r="L458" s="11"/>
      <c r="P458" s="14"/>
    </row>
    <row r="459" spans="1:16" ht="14.4">
      <c r="A459" s="6" t="s">
        <v>773</v>
      </c>
      <c r="B459" s="7"/>
      <c r="C459" s="6" t="s">
        <v>774</v>
      </c>
      <c r="H459" s="6" t="s">
        <v>34</v>
      </c>
      <c r="I459" s="11"/>
      <c r="J459" s="11"/>
      <c r="K459" s="11"/>
      <c r="L459" s="11"/>
    </row>
    <row r="460" spans="1:16" ht="14.4">
      <c r="A460" s="13" t="s">
        <v>775</v>
      </c>
      <c r="B460" s="13" t="s">
        <v>776</v>
      </c>
      <c r="C460" s="13" t="s">
        <v>777</v>
      </c>
      <c r="D460" s="15">
        <v>41944</v>
      </c>
      <c r="E460" s="14"/>
      <c r="F460" s="14"/>
      <c r="G460" s="14"/>
      <c r="H460" s="10"/>
      <c r="I460" s="10"/>
      <c r="J460" s="10"/>
      <c r="K460" s="10"/>
      <c r="L460" s="10"/>
      <c r="M460" s="14"/>
      <c r="N460" s="14"/>
      <c r="O460" s="14"/>
    </row>
    <row r="461" spans="1:16" ht="14.4">
      <c r="A461" s="6" t="s">
        <v>778</v>
      </c>
      <c r="B461" s="7"/>
      <c r="C461" s="7"/>
      <c r="H461" s="9" t="s">
        <v>65</v>
      </c>
      <c r="I461" s="11"/>
      <c r="J461" s="11"/>
      <c r="K461" s="11"/>
      <c r="L461" s="11"/>
    </row>
    <row r="462" spans="1:16" ht="14.4">
      <c r="A462" s="7" t="s">
        <v>779</v>
      </c>
      <c r="B462" s="7"/>
      <c r="C462" s="7" t="s">
        <v>780</v>
      </c>
      <c r="H462" s="17" t="s">
        <v>20</v>
      </c>
      <c r="I462" s="11"/>
      <c r="J462" s="11"/>
      <c r="K462" s="11"/>
      <c r="L462" s="11"/>
    </row>
    <row r="463" spans="1:16" ht="14.4">
      <c r="A463" s="7" t="s">
        <v>779</v>
      </c>
      <c r="B463" s="7"/>
      <c r="C463" s="7" t="s">
        <v>780</v>
      </c>
      <c r="H463" s="9"/>
      <c r="I463" s="10" t="s">
        <v>35</v>
      </c>
      <c r="J463" s="11"/>
      <c r="K463" s="11"/>
      <c r="L463" s="11"/>
    </row>
    <row r="464" spans="1:16" ht="14.4">
      <c r="A464" s="7" t="s">
        <v>781</v>
      </c>
      <c r="B464" s="7"/>
      <c r="C464" s="7" t="s">
        <v>782</v>
      </c>
      <c r="H464" s="17" t="s">
        <v>20</v>
      </c>
      <c r="I464" s="11"/>
      <c r="J464" s="11"/>
      <c r="K464" s="11"/>
      <c r="L464" s="11"/>
    </row>
    <row r="465" spans="1:16" ht="14.4">
      <c r="A465" s="7" t="s">
        <v>781</v>
      </c>
      <c r="B465" s="7"/>
      <c r="C465" s="7" t="s">
        <v>782</v>
      </c>
      <c r="H465" s="9"/>
      <c r="I465" s="10" t="s">
        <v>35</v>
      </c>
      <c r="J465" s="11"/>
      <c r="K465" s="11"/>
      <c r="L465" s="11"/>
    </row>
    <row r="466" spans="1:16" ht="14.4">
      <c r="A466" s="9" t="s">
        <v>781</v>
      </c>
      <c r="B466" s="53"/>
      <c r="C466" s="6" t="s">
        <v>782</v>
      </c>
      <c r="H466" s="9"/>
      <c r="I466" s="11"/>
      <c r="J466" s="10" t="s">
        <v>67</v>
      </c>
      <c r="K466" s="11"/>
      <c r="L466" s="11"/>
    </row>
    <row r="467" spans="1:16" ht="14.4">
      <c r="A467" s="6" t="s">
        <v>783</v>
      </c>
      <c r="B467" s="7"/>
      <c r="C467" s="7"/>
      <c r="H467" s="9"/>
      <c r="I467" s="11"/>
      <c r="J467" s="11"/>
      <c r="K467" s="11"/>
      <c r="L467" s="11" t="s">
        <v>75</v>
      </c>
    </row>
    <row r="468" spans="1:16" ht="14.4">
      <c r="A468" s="6" t="s">
        <v>784</v>
      </c>
      <c r="B468" s="6" t="s">
        <v>103</v>
      </c>
      <c r="C468" s="6" t="s">
        <v>785</v>
      </c>
      <c r="H468" s="40">
        <v>45252</v>
      </c>
      <c r="I468" s="11" t="s">
        <v>101</v>
      </c>
      <c r="J468" s="11"/>
      <c r="K468" s="11"/>
      <c r="L468" s="11"/>
    </row>
    <row r="469" spans="1:16" ht="14.4">
      <c r="A469" s="6" t="s">
        <v>784</v>
      </c>
      <c r="B469" s="6" t="s">
        <v>103</v>
      </c>
      <c r="C469" s="6" t="s">
        <v>785</v>
      </c>
      <c r="H469" s="9"/>
      <c r="I469" s="11"/>
      <c r="J469" s="11" t="s">
        <v>159</v>
      </c>
      <c r="K469" s="11"/>
      <c r="L469" s="11"/>
    </row>
    <row r="470" spans="1:16" ht="14.4">
      <c r="A470" s="6" t="s">
        <v>784</v>
      </c>
      <c r="B470" s="6" t="s">
        <v>103</v>
      </c>
      <c r="C470" s="6" t="s">
        <v>785</v>
      </c>
      <c r="H470" s="9"/>
      <c r="I470" s="11"/>
      <c r="J470" s="11"/>
      <c r="K470" s="11"/>
      <c r="L470" s="11" t="s">
        <v>75</v>
      </c>
    </row>
    <row r="471" spans="1:16" ht="14.4">
      <c r="A471" s="6" t="s">
        <v>784</v>
      </c>
      <c r="B471" s="6" t="s">
        <v>103</v>
      </c>
      <c r="C471" s="6" t="s">
        <v>785</v>
      </c>
      <c r="H471" s="9"/>
      <c r="I471" s="11"/>
      <c r="J471" s="11"/>
      <c r="K471" s="11" t="s">
        <v>159</v>
      </c>
      <c r="L471" s="11"/>
    </row>
    <row r="472" spans="1:16" ht="14.4">
      <c r="A472" s="9" t="s">
        <v>784</v>
      </c>
      <c r="B472" s="6" t="s">
        <v>103</v>
      </c>
      <c r="C472" s="6" t="s">
        <v>785</v>
      </c>
      <c r="H472" s="9"/>
      <c r="I472" s="11"/>
      <c r="J472" s="11"/>
      <c r="K472" s="11"/>
      <c r="L472" s="11"/>
      <c r="P472" s="26" t="s">
        <v>75</v>
      </c>
    </row>
    <row r="473" spans="1:16" ht="14.4">
      <c r="A473" s="6" t="s">
        <v>786</v>
      </c>
      <c r="B473" s="7"/>
      <c r="C473" s="6"/>
      <c r="H473" s="9"/>
      <c r="I473" s="9" t="s">
        <v>123</v>
      </c>
      <c r="J473" s="11"/>
      <c r="K473" s="11"/>
      <c r="L473" s="11"/>
    </row>
    <row r="474" spans="1:16" ht="14.4">
      <c r="A474" s="9" t="s">
        <v>787</v>
      </c>
      <c r="B474" s="17">
        <v>1561003040</v>
      </c>
      <c r="C474" s="10" t="s">
        <v>788</v>
      </c>
      <c r="E474" s="21" t="s">
        <v>372</v>
      </c>
      <c r="H474" s="90">
        <v>43515</v>
      </c>
      <c r="I474" s="63"/>
      <c r="J474" s="63"/>
      <c r="K474" s="63"/>
      <c r="L474" s="63"/>
      <c r="P474" s="14"/>
    </row>
    <row r="475" spans="1:16" ht="14.4">
      <c r="A475" s="14" t="s">
        <v>789</v>
      </c>
      <c r="B475" s="14" t="s">
        <v>790</v>
      </c>
      <c r="C475" s="19" t="str">
        <f>HYPERLINK("mailto:Ezequiellop@hotmail.com","Ezequiellop@hotmail.com")</f>
        <v>Ezequiellop@hotmail.com</v>
      </c>
      <c r="D475" s="14"/>
      <c r="E475" s="15">
        <v>41365</v>
      </c>
      <c r="F475" s="15">
        <v>41426</v>
      </c>
      <c r="G475" s="14"/>
      <c r="H475" s="20">
        <v>41395</v>
      </c>
      <c r="I475" s="10"/>
      <c r="J475" s="10"/>
      <c r="K475" s="10"/>
      <c r="L475" s="10"/>
      <c r="M475" s="14"/>
      <c r="N475" s="14"/>
      <c r="O475" s="14"/>
      <c r="P475" s="14"/>
    </row>
    <row r="476" spans="1:16" ht="14.4">
      <c r="A476" s="14" t="s">
        <v>791</v>
      </c>
      <c r="B476" s="14" t="s">
        <v>792</v>
      </c>
      <c r="C476" s="19" t="str">
        <f>HYPERLINK("mailto:cecator_pp@hotmail.com","cecator_pp@hotmail.com")</f>
        <v>cecator_pp@hotmail.com</v>
      </c>
      <c r="D476" s="14"/>
      <c r="E476" s="14"/>
      <c r="F476" s="15">
        <v>40756</v>
      </c>
      <c r="G476" s="14"/>
      <c r="H476" s="10"/>
      <c r="I476" s="10"/>
      <c r="J476" s="10"/>
      <c r="K476" s="10"/>
      <c r="L476" s="10"/>
      <c r="M476" s="14"/>
      <c r="N476" s="14"/>
      <c r="O476" s="14"/>
    </row>
    <row r="477" spans="1:16" ht="14.4">
      <c r="A477" s="6" t="s">
        <v>793</v>
      </c>
      <c r="B477" s="7"/>
      <c r="C477" s="7"/>
      <c r="H477" s="9" t="s">
        <v>23</v>
      </c>
      <c r="I477" s="11"/>
      <c r="J477" s="11"/>
      <c r="K477" s="11"/>
      <c r="L477" s="11"/>
    </row>
    <row r="478" spans="1:16" ht="14.4">
      <c r="A478" s="9" t="s">
        <v>793</v>
      </c>
      <c r="B478" s="7"/>
      <c r="C478" s="7"/>
      <c r="H478" s="9"/>
      <c r="I478" s="11" t="s">
        <v>24</v>
      </c>
      <c r="J478" s="11"/>
      <c r="K478" s="11"/>
      <c r="L478" s="11"/>
    </row>
    <row r="479" spans="1:16" ht="14.4">
      <c r="A479" s="14" t="s">
        <v>794</v>
      </c>
      <c r="B479" s="47" t="s">
        <v>795</v>
      </c>
      <c r="C479" s="14" t="s">
        <v>796</v>
      </c>
      <c r="D479" s="14"/>
      <c r="E479" s="15">
        <v>41275</v>
      </c>
      <c r="F479" s="15">
        <v>41000</v>
      </c>
      <c r="G479" s="14"/>
      <c r="H479" s="10"/>
      <c r="I479" s="10"/>
      <c r="J479" s="10"/>
      <c r="K479" s="10"/>
      <c r="L479" s="10"/>
      <c r="M479" s="14"/>
      <c r="N479" s="14"/>
      <c r="O479" s="14"/>
      <c r="P479" s="14"/>
    </row>
    <row r="480" spans="1:16" ht="14.4">
      <c r="A480" s="6" t="s">
        <v>797</v>
      </c>
      <c r="B480" s="7"/>
      <c r="C480" s="6" t="s">
        <v>798</v>
      </c>
      <c r="H480" s="9" t="s">
        <v>109</v>
      </c>
      <c r="I480" s="11"/>
      <c r="J480" s="11"/>
      <c r="K480" s="11"/>
      <c r="L480" s="11"/>
    </row>
    <row r="481" spans="1:16" ht="14.4">
      <c r="A481" s="6" t="s">
        <v>799</v>
      </c>
      <c r="B481" s="7"/>
      <c r="C481" s="7"/>
      <c r="H481" s="9"/>
      <c r="I481" s="11"/>
      <c r="J481" s="11"/>
      <c r="K481" s="11" t="s">
        <v>159</v>
      </c>
      <c r="L481" s="11"/>
    </row>
    <row r="482" spans="1:16" ht="14.4">
      <c r="A482" s="6" t="s">
        <v>799</v>
      </c>
      <c r="B482" s="7"/>
      <c r="C482" s="7"/>
      <c r="D482" s="8">
        <v>14300</v>
      </c>
      <c r="H482" s="9"/>
      <c r="I482" s="11"/>
      <c r="J482" s="11"/>
      <c r="K482" s="11"/>
      <c r="L482" s="41">
        <v>45253</v>
      </c>
    </row>
    <row r="483" spans="1:16" ht="14.4">
      <c r="A483" s="14" t="s">
        <v>800</v>
      </c>
      <c r="B483" s="14"/>
      <c r="C483" s="19" t="str">
        <f>HYPERLINK("mailto:fabycasco@gmail.com","fabycasco@gmail.com")</f>
        <v>fabycasco@gmail.com</v>
      </c>
      <c r="D483" s="14"/>
      <c r="E483" s="15">
        <v>41365</v>
      </c>
      <c r="F483" s="14"/>
      <c r="G483" s="14"/>
      <c r="H483" s="10"/>
      <c r="I483" s="10"/>
      <c r="J483" s="10"/>
      <c r="K483" s="10"/>
      <c r="L483" s="10"/>
      <c r="M483" s="14"/>
      <c r="N483" s="14"/>
      <c r="O483" s="14"/>
      <c r="P483" s="14"/>
    </row>
    <row r="484" spans="1:16" ht="14.4">
      <c r="A484" s="6" t="s">
        <v>801</v>
      </c>
      <c r="B484" s="7"/>
      <c r="C484" s="7"/>
      <c r="H484" s="22"/>
      <c r="I484" s="11"/>
      <c r="J484" s="11"/>
      <c r="K484" s="11" t="s">
        <v>110</v>
      </c>
      <c r="L484" s="11"/>
    </row>
    <row r="485" spans="1:16" ht="14.4">
      <c r="A485" s="6" t="s">
        <v>801</v>
      </c>
      <c r="B485" s="7"/>
      <c r="C485" s="6" t="s">
        <v>802</v>
      </c>
      <c r="H485" s="22"/>
      <c r="I485" s="11"/>
      <c r="J485" s="35">
        <v>45252</v>
      </c>
      <c r="K485" s="11"/>
      <c r="L485" s="11"/>
    </row>
    <row r="486" spans="1:16" ht="14.4">
      <c r="A486" s="6" t="s">
        <v>803</v>
      </c>
      <c r="B486" s="27">
        <v>1556469704</v>
      </c>
      <c r="C486" s="18" t="s">
        <v>804</v>
      </c>
      <c r="H486" s="9" t="s">
        <v>260</v>
      </c>
      <c r="I486" s="11" t="s">
        <v>212</v>
      </c>
      <c r="J486" s="11"/>
      <c r="K486" s="11"/>
      <c r="L486" s="11"/>
      <c r="P486" s="14"/>
    </row>
    <row r="487" spans="1:16" ht="14.4">
      <c r="A487" s="6" t="s">
        <v>803</v>
      </c>
      <c r="B487" s="29">
        <v>1556469704</v>
      </c>
      <c r="C487" s="18" t="s">
        <v>804</v>
      </c>
      <c r="H487" s="22"/>
      <c r="I487" s="11"/>
      <c r="J487" s="11"/>
      <c r="K487" s="11"/>
      <c r="L487" s="11"/>
      <c r="P487" s="43" t="s">
        <v>295</v>
      </c>
    </row>
    <row r="488" spans="1:16" ht="14.4">
      <c r="A488" s="6" t="s">
        <v>803</v>
      </c>
      <c r="B488" s="7"/>
      <c r="C488" s="7"/>
      <c r="H488" s="9"/>
      <c r="I488" s="11"/>
      <c r="J488" s="11"/>
      <c r="K488" s="11"/>
      <c r="L488" s="11"/>
      <c r="P488" s="6" t="s">
        <v>68</v>
      </c>
    </row>
    <row r="489" spans="1:16" ht="14.4">
      <c r="A489" s="6" t="s">
        <v>805</v>
      </c>
      <c r="B489" s="7"/>
      <c r="C489" s="6"/>
      <c r="H489" s="9" t="s">
        <v>50</v>
      </c>
      <c r="I489" s="11"/>
      <c r="J489" s="11"/>
      <c r="K489" s="11"/>
      <c r="L489" s="11"/>
    </row>
    <row r="490" spans="1:16" ht="14.4">
      <c r="A490" s="14" t="s">
        <v>806</v>
      </c>
      <c r="B490" s="14" t="s">
        <v>807</v>
      </c>
      <c r="C490" s="19" t="str">
        <f>HYPERLINK("mailto:fabiana.salerno@gmail.com","fabiana.salerno@gmail.com")</f>
        <v>fabiana.salerno@gmail.com</v>
      </c>
      <c r="D490" s="15">
        <v>41091</v>
      </c>
      <c r="E490" s="14"/>
      <c r="F490" s="14"/>
      <c r="G490" s="14"/>
      <c r="H490" s="10"/>
      <c r="I490" s="10"/>
      <c r="J490" s="10"/>
      <c r="K490" s="10"/>
      <c r="L490" s="10"/>
      <c r="M490" s="14"/>
      <c r="N490" s="14"/>
      <c r="O490" s="14"/>
      <c r="P490" s="14"/>
    </row>
    <row r="491" spans="1:16" ht="14.4">
      <c r="A491" s="14" t="s">
        <v>808</v>
      </c>
      <c r="B491" s="32"/>
      <c r="C491" s="10" t="s">
        <v>809</v>
      </c>
      <c r="E491" s="21" t="s">
        <v>314</v>
      </c>
      <c r="H491" s="22"/>
      <c r="I491" s="11"/>
      <c r="J491" s="11"/>
      <c r="K491" s="11"/>
      <c r="L491" s="11"/>
      <c r="P491" s="14"/>
    </row>
    <row r="492" spans="1:16" ht="14.4">
      <c r="A492" s="9" t="s">
        <v>810</v>
      </c>
      <c r="B492" s="7"/>
      <c r="C492" s="6"/>
      <c r="H492" s="9" t="s">
        <v>29</v>
      </c>
      <c r="I492" s="11"/>
      <c r="J492" s="11"/>
      <c r="K492" s="11"/>
      <c r="L492" s="11"/>
    </row>
    <row r="493" spans="1:16" ht="14.4">
      <c r="A493" s="14" t="s">
        <v>811</v>
      </c>
      <c r="B493" s="14" t="s">
        <v>812</v>
      </c>
      <c r="C493" s="14" t="s">
        <v>813</v>
      </c>
      <c r="D493" s="15">
        <v>41579</v>
      </c>
      <c r="E493" s="14"/>
      <c r="F493" s="14"/>
      <c r="G493" s="14"/>
      <c r="H493" s="10"/>
      <c r="I493" s="10"/>
      <c r="J493" s="10"/>
      <c r="K493" s="10"/>
      <c r="L493" s="10"/>
      <c r="M493" s="14"/>
      <c r="N493" s="14"/>
      <c r="O493" s="14"/>
      <c r="P493" s="14"/>
    </row>
    <row r="494" spans="1:16" ht="14.4">
      <c r="A494" s="59" t="s">
        <v>814</v>
      </c>
      <c r="B494" s="60">
        <v>1131080755</v>
      </c>
      <c r="C494" s="59" t="s">
        <v>815</v>
      </c>
      <c r="H494" s="22"/>
      <c r="I494" s="11"/>
      <c r="J494" s="11"/>
      <c r="K494" s="10" t="s">
        <v>212</v>
      </c>
      <c r="L494" s="10"/>
      <c r="P494" s="14"/>
    </row>
    <row r="495" spans="1:16" ht="14.4">
      <c r="A495" s="13" t="s">
        <v>816</v>
      </c>
      <c r="B495" s="13" t="s">
        <v>817</v>
      </c>
      <c r="C495" s="14" t="s">
        <v>818</v>
      </c>
      <c r="D495" s="14"/>
      <c r="E495" s="14"/>
      <c r="F495" s="14"/>
      <c r="G495" s="14"/>
      <c r="H495" s="10"/>
      <c r="I495" s="10"/>
      <c r="J495" s="10"/>
      <c r="K495" s="10"/>
      <c r="L495" s="10"/>
      <c r="M495" s="15">
        <v>42064</v>
      </c>
      <c r="N495" s="14"/>
      <c r="O495" s="14"/>
      <c r="P495" s="14"/>
    </row>
    <row r="496" spans="1:16" ht="14.4">
      <c r="A496" s="6" t="s">
        <v>819</v>
      </c>
      <c r="B496" s="8">
        <v>93815875286</v>
      </c>
      <c r="C496" s="6" t="s">
        <v>820</v>
      </c>
      <c r="H496" s="9" t="s">
        <v>94</v>
      </c>
      <c r="I496" s="11"/>
      <c r="J496" s="11"/>
      <c r="K496" s="11"/>
      <c r="L496" s="11"/>
    </row>
    <row r="497" spans="1:16" ht="14.4">
      <c r="A497" s="6" t="s">
        <v>819</v>
      </c>
      <c r="B497" s="7"/>
      <c r="C497" s="6"/>
      <c r="H497" s="9" t="s">
        <v>94</v>
      </c>
      <c r="I497" s="11"/>
      <c r="J497" s="11"/>
      <c r="K497" s="11"/>
      <c r="L497" s="11"/>
    </row>
    <row r="498" spans="1:16" ht="14.4">
      <c r="A498" s="6" t="s">
        <v>821</v>
      </c>
      <c r="B498" s="7"/>
      <c r="C498" s="7"/>
      <c r="H498" s="9" t="s">
        <v>65</v>
      </c>
      <c r="I498" s="11"/>
      <c r="J498" s="11"/>
      <c r="K498" s="11"/>
      <c r="L498" s="11"/>
    </row>
    <row r="499" spans="1:16" ht="14.4">
      <c r="A499" s="6" t="s">
        <v>822</v>
      </c>
      <c r="B499" s="7"/>
      <c r="C499" s="6"/>
      <c r="H499" s="9" t="s">
        <v>29</v>
      </c>
      <c r="I499" s="11"/>
      <c r="J499" s="11"/>
      <c r="K499" s="11"/>
      <c r="L499" s="11"/>
    </row>
    <row r="500" spans="1:16" ht="14.4">
      <c r="A500" s="6" t="s">
        <v>822</v>
      </c>
      <c r="B500" s="7"/>
      <c r="C500" s="6"/>
      <c r="H500" s="9"/>
      <c r="I500" s="10" t="s">
        <v>30</v>
      </c>
      <c r="J500" s="11"/>
      <c r="K500" s="11"/>
      <c r="L500" s="11"/>
    </row>
    <row r="501" spans="1:16" ht="14.4">
      <c r="A501" s="9" t="s">
        <v>822</v>
      </c>
      <c r="B501" s="7"/>
      <c r="C501" s="6"/>
      <c r="H501" s="9"/>
      <c r="I501" s="11"/>
      <c r="J501" s="10" t="s">
        <v>31</v>
      </c>
      <c r="K501" s="11"/>
      <c r="L501" s="11"/>
    </row>
    <row r="502" spans="1:16" ht="14.4">
      <c r="A502" s="13" t="s">
        <v>823</v>
      </c>
      <c r="B502" s="13" t="s">
        <v>824</v>
      </c>
      <c r="C502" s="46" t="str">
        <f>HYPERLINK("mailto:Fedealopez@hotmail.com","Fedealopez@hotmail.com")</f>
        <v>Fedealopez@hotmail.com</v>
      </c>
      <c r="D502" s="15">
        <v>41518</v>
      </c>
      <c r="E502" s="14"/>
      <c r="F502" s="14"/>
      <c r="G502" s="14"/>
      <c r="H502" s="10"/>
      <c r="I502" s="10"/>
      <c r="J502" s="10"/>
      <c r="K502" s="10"/>
      <c r="L502" s="10"/>
      <c r="M502" s="14"/>
      <c r="N502" s="14"/>
      <c r="O502" s="14"/>
      <c r="P502" s="14"/>
    </row>
    <row r="503" spans="1:16" ht="14.4">
      <c r="A503" s="13" t="s">
        <v>825</v>
      </c>
      <c r="B503" s="13" t="s">
        <v>826</v>
      </c>
      <c r="C503" s="46" t="str">
        <f>HYPERLINK("mailto:fede_otaku@hotmail.com","fede_otaku@hotmail.com")</f>
        <v>fede_otaku@hotmail.com</v>
      </c>
      <c r="D503" s="15">
        <v>41518</v>
      </c>
      <c r="E503" s="14"/>
      <c r="F503" s="14"/>
      <c r="G503" s="14"/>
      <c r="H503" s="10"/>
      <c r="I503" s="10"/>
      <c r="J503" s="10"/>
      <c r="K503" s="10"/>
      <c r="L503" s="10"/>
      <c r="M503" s="14"/>
      <c r="N503" s="14"/>
      <c r="O503" s="14"/>
      <c r="P503" s="14"/>
    </row>
    <row r="504" spans="1:16" ht="14.4">
      <c r="A504" s="14" t="s">
        <v>827</v>
      </c>
      <c r="B504" s="14"/>
      <c r="C504" s="19" t="str">
        <f>HYPERLINK("mailto:fnola.20@gmail.com","fnola.20@gmail.com")</f>
        <v>fnola.20@gmail.com</v>
      </c>
      <c r="D504" s="14"/>
      <c r="E504" s="15">
        <v>41306</v>
      </c>
      <c r="F504" s="14"/>
      <c r="G504" s="14"/>
      <c r="H504" s="10"/>
      <c r="I504" s="10"/>
      <c r="J504" s="10"/>
      <c r="K504" s="10"/>
      <c r="L504" s="10"/>
      <c r="M504" s="14"/>
      <c r="N504" s="14"/>
      <c r="O504" s="14"/>
      <c r="P504" s="14"/>
    </row>
    <row r="505" spans="1:16" ht="14.4">
      <c r="A505" s="10" t="s">
        <v>828</v>
      </c>
      <c r="B505" s="17" t="s">
        <v>829</v>
      </c>
      <c r="C505" s="17" t="s">
        <v>830</v>
      </c>
      <c r="H505" s="23" t="s">
        <v>742</v>
      </c>
      <c r="I505" s="11"/>
      <c r="J505" s="11"/>
      <c r="K505" s="11"/>
      <c r="L505" s="11"/>
      <c r="P505" s="14"/>
    </row>
    <row r="506" spans="1:16" ht="14.4">
      <c r="A506" s="14" t="s">
        <v>831</v>
      </c>
      <c r="B506" s="14" t="s">
        <v>832</v>
      </c>
      <c r="C506" s="19" t="str">
        <f>HYPERLINK("mailto:fedeteyssan@gmail.com","fedeteyssan@gmail.com")</f>
        <v>fedeteyssan@gmail.com</v>
      </c>
      <c r="D506" s="15">
        <v>41579</v>
      </c>
      <c r="E506" s="14"/>
      <c r="F506" s="15">
        <v>41913</v>
      </c>
      <c r="G506" s="15">
        <v>42064</v>
      </c>
      <c r="H506" s="10"/>
      <c r="I506" s="10"/>
      <c r="J506" s="10"/>
      <c r="K506" s="10"/>
      <c r="L506" s="10"/>
      <c r="M506" s="14"/>
      <c r="N506" s="14"/>
      <c r="O506" s="14"/>
      <c r="P506" s="14"/>
    </row>
    <row r="507" spans="1:16" ht="14.4">
      <c r="A507" s="7" t="s">
        <v>833</v>
      </c>
      <c r="B507" s="32"/>
      <c r="C507" s="25" t="s">
        <v>834</v>
      </c>
      <c r="D507" s="21" t="s">
        <v>355</v>
      </c>
      <c r="H507" s="22"/>
      <c r="I507" s="11"/>
      <c r="J507" s="11"/>
      <c r="K507" s="11"/>
      <c r="L507" s="11"/>
      <c r="P507" s="14"/>
    </row>
    <row r="508" spans="1:16" ht="14.4">
      <c r="A508" s="9" t="s">
        <v>835</v>
      </c>
      <c r="B508" s="55"/>
      <c r="C508" s="17" t="s">
        <v>836</v>
      </c>
      <c r="E508" s="21" t="s">
        <v>372</v>
      </c>
      <c r="H508" s="91"/>
      <c r="I508" s="63"/>
      <c r="J508" s="63"/>
      <c r="K508" s="63"/>
      <c r="L508" s="63"/>
      <c r="P508" s="14"/>
    </row>
    <row r="509" spans="1:16" ht="14.4">
      <c r="A509" s="13" t="s">
        <v>837</v>
      </c>
      <c r="B509" s="17" t="s">
        <v>838</v>
      </c>
      <c r="C509" s="13" t="s">
        <v>839</v>
      </c>
      <c r="D509" s="14"/>
      <c r="E509" s="15">
        <v>42248</v>
      </c>
      <c r="F509" s="14"/>
      <c r="G509" s="14"/>
      <c r="H509" s="10"/>
      <c r="I509" s="10"/>
      <c r="J509" s="10"/>
      <c r="K509" s="10"/>
      <c r="L509" s="10"/>
      <c r="M509" s="14"/>
      <c r="N509" s="14"/>
      <c r="O509" s="14"/>
      <c r="P509" s="14"/>
    </row>
    <row r="510" spans="1:16" ht="14.4">
      <c r="A510" s="6" t="s">
        <v>840</v>
      </c>
      <c r="B510" s="7"/>
      <c r="C510" s="6"/>
      <c r="H510" s="9" t="s">
        <v>29</v>
      </c>
      <c r="I510" s="11"/>
      <c r="J510" s="11"/>
      <c r="K510" s="11"/>
      <c r="L510" s="11"/>
    </row>
    <row r="511" spans="1:16" ht="14.4">
      <c r="A511" s="14" t="s">
        <v>841</v>
      </c>
      <c r="B511" s="14" t="s">
        <v>842</v>
      </c>
      <c r="C511" s="19" t="str">
        <f>HYPERLINK("mailto:jacobofernando@hotmail.com","jacobofernando@hotmail.com")</f>
        <v>jacobofernando@hotmail.com</v>
      </c>
      <c r="D511" s="15">
        <v>41183</v>
      </c>
      <c r="E511" s="14"/>
      <c r="F511" s="14"/>
      <c r="G511" s="14"/>
      <c r="H511" s="10"/>
      <c r="I511" s="10"/>
      <c r="J511" s="10"/>
      <c r="K511" s="10"/>
      <c r="L511" s="10"/>
      <c r="M511" s="14"/>
      <c r="N511" s="14"/>
      <c r="O511" s="14"/>
      <c r="P511" s="14"/>
    </row>
    <row r="512" spans="1:16" ht="14.4">
      <c r="A512" s="14" t="s">
        <v>843</v>
      </c>
      <c r="B512" s="14"/>
      <c r="C512" s="84" t="s">
        <v>844</v>
      </c>
      <c r="D512" s="14"/>
      <c r="E512" s="14"/>
      <c r="F512" s="14"/>
      <c r="G512" s="14"/>
      <c r="H512" s="10"/>
      <c r="I512" s="10"/>
      <c r="J512" s="10"/>
      <c r="K512" s="10"/>
      <c r="L512" s="10"/>
      <c r="M512" s="14"/>
      <c r="N512" s="14"/>
      <c r="O512" s="14"/>
      <c r="P512" s="14"/>
    </row>
    <row r="513" spans="1:16" ht="14.4">
      <c r="A513" s="14" t="s">
        <v>845</v>
      </c>
      <c r="B513" s="13">
        <v>1566960267</v>
      </c>
      <c r="C513" s="19" t="str">
        <f>HYPERLINK("mailto:Fernadoscrepis@hotmail.com","Fernadoscrepis@hotmail.com")</f>
        <v>Fernadoscrepis@hotmail.com</v>
      </c>
      <c r="D513" s="15">
        <v>42186</v>
      </c>
      <c r="E513" s="14"/>
      <c r="F513" s="14"/>
      <c r="G513" s="14"/>
      <c r="H513" s="10"/>
      <c r="I513" s="10"/>
      <c r="J513" s="10"/>
      <c r="K513" s="10"/>
      <c r="L513" s="10"/>
      <c r="M513" s="14"/>
      <c r="N513" s="14"/>
      <c r="O513" s="14"/>
      <c r="P513" s="14"/>
    </row>
    <row r="514" spans="1:16" ht="14.4">
      <c r="A514" s="14" t="s">
        <v>846</v>
      </c>
      <c r="B514" s="13">
        <v>1565999491</v>
      </c>
      <c r="C514" s="10" t="s">
        <v>847</v>
      </c>
      <c r="E514" s="21" t="s">
        <v>314</v>
      </c>
      <c r="H514" s="22"/>
      <c r="I514" s="11"/>
      <c r="J514" s="11"/>
      <c r="K514" s="11"/>
      <c r="L514" s="11"/>
      <c r="P514" s="14"/>
    </row>
    <row r="515" spans="1:16" ht="14.4">
      <c r="A515" s="6" t="s">
        <v>848</v>
      </c>
      <c r="B515" s="7"/>
      <c r="C515" s="7"/>
      <c r="H515" s="9" t="s">
        <v>123</v>
      </c>
      <c r="I515" s="11"/>
      <c r="J515" s="11"/>
      <c r="K515" s="11"/>
      <c r="L515" s="11"/>
    </row>
    <row r="516" spans="1:16" ht="14.4">
      <c r="A516" s="14" t="s">
        <v>849</v>
      </c>
      <c r="B516" s="32"/>
      <c r="C516" s="10" t="s">
        <v>850</v>
      </c>
      <c r="E516" s="21" t="s">
        <v>314</v>
      </c>
      <c r="H516" s="22"/>
      <c r="I516" s="11"/>
      <c r="J516" s="11"/>
      <c r="K516" s="11"/>
      <c r="L516" s="11"/>
      <c r="P516" s="14"/>
    </row>
    <row r="517" spans="1:16" ht="14.4">
      <c r="A517" s="6" t="s">
        <v>851</v>
      </c>
      <c r="B517" s="8">
        <v>3412293528</v>
      </c>
      <c r="C517" s="6" t="s">
        <v>852</v>
      </c>
      <c r="H517" s="22"/>
      <c r="I517" s="11"/>
      <c r="J517" s="11"/>
      <c r="K517" s="11"/>
      <c r="L517" s="11"/>
      <c r="P517" s="12" t="s">
        <v>194</v>
      </c>
    </row>
    <row r="518" spans="1:16" ht="14.4">
      <c r="A518" s="6" t="s">
        <v>853</v>
      </c>
      <c r="B518" s="7"/>
      <c r="C518" s="7"/>
      <c r="H518" s="9"/>
      <c r="I518" s="41">
        <v>45253</v>
      </c>
      <c r="J518" s="11"/>
      <c r="K518" s="11"/>
      <c r="L518" s="11"/>
    </row>
    <row r="519" spans="1:16" ht="14.4">
      <c r="A519" s="9" t="s">
        <v>854</v>
      </c>
      <c r="B519" s="55">
        <v>1158638307</v>
      </c>
      <c r="C519" s="55" t="s">
        <v>855</v>
      </c>
      <c r="E519" s="21" t="s">
        <v>372</v>
      </c>
      <c r="H519" s="22"/>
      <c r="I519" s="11"/>
      <c r="J519" s="11"/>
      <c r="K519" s="11"/>
      <c r="L519" s="11"/>
      <c r="P519" s="14"/>
    </row>
    <row r="520" spans="1:16" ht="14.4">
      <c r="A520" s="7" t="s">
        <v>856</v>
      </c>
      <c r="B520" s="7"/>
      <c r="C520" s="7" t="s">
        <v>857</v>
      </c>
      <c r="H520" s="17" t="s">
        <v>20</v>
      </c>
      <c r="I520" s="11"/>
      <c r="J520" s="11"/>
      <c r="K520" s="11"/>
      <c r="L520" s="11"/>
    </row>
    <row r="521" spans="1:16" ht="14.4">
      <c r="A521" s="7" t="s">
        <v>856</v>
      </c>
      <c r="B521" s="7"/>
      <c r="C521" s="7" t="s">
        <v>857</v>
      </c>
      <c r="H521" s="9"/>
      <c r="I521" s="10" t="s">
        <v>35</v>
      </c>
      <c r="J521" s="11"/>
      <c r="K521" s="11"/>
      <c r="L521" s="11"/>
    </row>
    <row r="522" spans="1:16" ht="14.4">
      <c r="A522" s="9" t="s">
        <v>856</v>
      </c>
      <c r="B522" s="53"/>
      <c r="C522" s="6" t="s">
        <v>857</v>
      </c>
      <c r="H522" s="9"/>
      <c r="I522" s="11"/>
      <c r="J522" s="10" t="s">
        <v>67</v>
      </c>
      <c r="K522" s="11"/>
      <c r="L522" s="11"/>
    </row>
    <row r="523" spans="1:16" ht="14.4">
      <c r="A523" s="13" t="s">
        <v>858</v>
      </c>
      <c r="B523" s="13">
        <v>1550055551</v>
      </c>
      <c r="C523" s="13" t="s">
        <v>859</v>
      </c>
      <c r="D523" s="14"/>
      <c r="E523" s="15">
        <v>41821</v>
      </c>
      <c r="F523" s="14"/>
      <c r="G523" s="14"/>
      <c r="H523" s="20">
        <v>41821</v>
      </c>
      <c r="I523" s="10"/>
      <c r="J523" s="10"/>
      <c r="K523" s="10"/>
      <c r="L523" s="10"/>
      <c r="M523" s="14"/>
      <c r="N523" s="14"/>
      <c r="O523" s="14"/>
      <c r="P523" s="14"/>
    </row>
    <row r="524" spans="1:16" ht="14.4">
      <c r="A524" s="53" t="s">
        <v>860</v>
      </c>
      <c r="B524" s="38">
        <v>1526786476</v>
      </c>
      <c r="C524" s="25" t="s">
        <v>861</v>
      </c>
      <c r="D524" s="21" t="s">
        <v>355</v>
      </c>
      <c r="H524" s="22"/>
      <c r="I524" s="11"/>
      <c r="J524" s="11"/>
      <c r="K524" s="11"/>
      <c r="L524" s="11"/>
      <c r="P524" s="14"/>
    </row>
    <row r="525" spans="1:16" ht="14.4">
      <c r="A525" s="6" t="s">
        <v>862</v>
      </c>
      <c r="B525" s="8" t="s">
        <v>863</v>
      </c>
      <c r="C525" s="7"/>
      <c r="H525" s="9" t="s">
        <v>123</v>
      </c>
      <c r="I525" s="11"/>
      <c r="J525" s="11"/>
      <c r="K525" s="11"/>
      <c r="L525" s="11"/>
    </row>
    <row r="526" spans="1:16" ht="14.4">
      <c r="A526" s="13" t="s">
        <v>864</v>
      </c>
      <c r="B526" s="13" t="s">
        <v>865</v>
      </c>
      <c r="C526" s="13" t="s">
        <v>866</v>
      </c>
      <c r="D526" s="14"/>
      <c r="E526" s="14"/>
      <c r="F526" s="21" t="s">
        <v>135</v>
      </c>
      <c r="G526" s="14"/>
      <c r="H526" s="10"/>
      <c r="I526" s="10"/>
      <c r="J526" s="10"/>
      <c r="K526" s="10"/>
      <c r="L526" s="10"/>
      <c r="M526" s="14"/>
      <c r="N526" s="14"/>
      <c r="O526" s="14"/>
    </row>
    <row r="527" spans="1:16" ht="14.4">
      <c r="A527" s="10" t="s">
        <v>867</v>
      </c>
      <c r="B527" s="33" t="s">
        <v>868</v>
      </c>
      <c r="C527" s="17" t="s">
        <v>869</v>
      </c>
      <c r="H527" s="23" t="s">
        <v>742</v>
      </c>
      <c r="I527" s="11"/>
      <c r="J527" s="11"/>
      <c r="K527" s="11"/>
      <c r="L527" s="11"/>
      <c r="P527" s="14"/>
    </row>
    <row r="528" spans="1:16" ht="14.4">
      <c r="A528" s="14" t="s">
        <v>870</v>
      </c>
      <c r="B528" s="32"/>
      <c r="C528" s="14" t="s">
        <v>871</v>
      </c>
      <c r="E528" s="21" t="s">
        <v>314</v>
      </c>
      <c r="H528" s="22"/>
      <c r="I528" s="11"/>
      <c r="J528" s="11"/>
      <c r="K528" s="11"/>
      <c r="L528" s="11"/>
      <c r="P528" s="14"/>
    </row>
    <row r="529" spans="1:17" ht="14.4">
      <c r="A529" s="14" t="s">
        <v>872</v>
      </c>
      <c r="B529" s="14" t="s">
        <v>873</v>
      </c>
      <c r="C529" s="14" t="s">
        <v>874</v>
      </c>
      <c r="D529" s="15">
        <v>42064</v>
      </c>
      <c r="E529" s="14"/>
      <c r="F529" s="14"/>
      <c r="G529" s="14"/>
      <c r="H529" s="20">
        <v>42095</v>
      </c>
      <c r="I529" s="10"/>
      <c r="J529" s="10"/>
      <c r="K529" s="10"/>
      <c r="L529" s="10"/>
      <c r="M529" s="14"/>
      <c r="N529" s="14"/>
      <c r="O529" s="14"/>
      <c r="P529" s="14"/>
    </row>
    <row r="530" spans="1:17" ht="14.4">
      <c r="A530" s="6" t="s">
        <v>875</v>
      </c>
      <c r="B530" s="7"/>
      <c r="C530" s="7"/>
      <c r="H530" s="9" t="s">
        <v>82</v>
      </c>
      <c r="I530" s="11"/>
      <c r="J530" s="11"/>
      <c r="K530" s="11"/>
      <c r="L530" s="11"/>
    </row>
    <row r="531" spans="1:17" ht="14.4">
      <c r="A531" s="14" t="s">
        <v>876</v>
      </c>
      <c r="B531" s="13">
        <v>1533163545</v>
      </c>
      <c r="C531" s="19" t="str">
        <f>HYPERLINK("mailto:fmendonca@grupohecke.com","fmendonca@grupohecke.com")</f>
        <v>fmendonca@grupohecke.com</v>
      </c>
      <c r="D531" s="15">
        <v>41395</v>
      </c>
      <c r="E531" s="14"/>
      <c r="F531" s="14"/>
      <c r="G531" s="14"/>
      <c r="H531" s="10"/>
      <c r="I531" s="10"/>
      <c r="J531" s="10"/>
      <c r="K531" s="10"/>
      <c r="L531" s="10"/>
      <c r="M531" s="14"/>
      <c r="N531" s="14"/>
      <c r="O531" s="14"/>
      <c r="P531" s="14"/>
    </row>
    <row r="532" spans="1:17" ht="14.4">
      <c r="A532" s="6" t="s">
        <v>877</v>
      </c>
      <c r="B532" s="7"/>
      <c r="C532" s="6"/>
      <c r="H532" s="42">
        <v>45954</v>
      </c>
      <c r="I532" s="11"/>
      <c r="J532" s="11"/>
      <c r="K532" s="11"/>
      <c r="L532" s="11"/>
    </row>
    <row r="533" spans="1:17" ht="14.4">
      <c r="A533" s="9" t="s">
        <v>877</v>
      </c>
      <c r="B533" s="7"/>
      <c r="C533" s="6"/>
      <c r="H533" s="9"/>
      <c r="I533" s="41">
        <v>45985</v>
      </c>
      <c r="J533" s="11"/>
      <c r="K533" s="11"/>
      <c r="L533" s="11"/>
    </row>
    <row r="534" spans="1:17" ht="14.4">
      <c r="A534" s="9" t="s">
        <v>877</v>
      </c>
      <c r="B534" s="7"/>
      <c r="C534" s="6"/>
      <c r="H534" s="9"/>
      <c r="I534" s="11"/>
      <c r="J534" s="11" t="s">
        <v>82</v>
      </c>
      <c r="K534" s="11"/>
      <c r="L534" s="11"/>
    </row>
    <row r="535" spans="1:17" ht="14.4">
      <c r="A535" s="6" t="s">
        <v>878</v>
      </c>
      <c r="B535" s="7"/>
      <c r="C535" s="6" t="s">
        <v>879</v>
      </c>
      <c r="H535" s="9" t="s">
        <v>67</v>
      </c>
      <c r="I535" s="11"/>
      <c r="J535" s="11"/>
      <c r="K535" s="11"/>
      <c r="L535" s="11"/>
    </row>
    <row r="536" spans="1:17" ht="14.4">
      <c r="A536" s="6" t="s">
        <v>880</v>
      </c>
      <c r="B536" s="7"/>
      <c r="C536" s="6"/>
      <c r="H536" s="9" t="s">
        <v>50</v>
      </c>
      <c r="I536" s="11"/>
      <c r="J536" s="11"/>
      <c r="K536" s="11"/>
      <c r="L536" s="11"/>
    </row>
    <row r="537" spans="1:17" ht="14.4">
      <c r="A537" s="14" t="s">
        <v>881</v>
      </c>
      <c r="B537" s="14" t="s">
        <v>882</v>
      </c>
      <c r="C537" s="19" t="str">
        <f>HYPERLINK("mailto:gabrielhickling@yahoo.com.ar","gabrielhickling@yahoo.com.ar")</f>
        <v>gabrielhickling@yahoo.com.ar</v>
      </c>
      <c r="D537" s="14"/>
      <c r="E537" s="14"/>
      <c r="F537" s="14"/>
      <c r="G537" s="14"/>
      <c r="H537" s="20">
        <v>41365</v>
      </c>
      <c r="I537" s="10"/>
      <c r="J537" s="10"/>
      <c r="K537" s="10"/>
      <c r="L537" s="10"/>
      <c r="M537" s="15">
        <v>42064</v>
      </c>
      <c r="N537" s="14"/>
      <c r="O537" s="14"/>
      <c r="P537" s="14"/>
    </row>
    <row r="538" spans="1:17" ht="14.4">
      <c r="A538" s="6" t="s">
        <v>883</v>
      </c>
      <c r="B538" s="32"/>
      <c r="C538" s="68" t="s">
        <v>884</v>
      </c>
      <c r="H538" s="9" t="s">
        <v>260</v>
      </c>
      <c r="I538" s="11" t="s">
        <v>212</v>
      </c>
      <c r="J538" s="17" t="s">
        <v>71</v>
      </c>
      <c r="K538" s="17" t="s">
        <v>261</v>
      </c>
      <c r="L538" s="10" t="s">
        <v>885</v>
      </c>
      <c r="P538" s="14"/>
    </row>
    <row r="539" spans="1:17" ht="14.4">
      <c r="A539" s="6" t="s">
        <v>883</v>
      </c>
      <c r="B539" s="7"/>
      <c r="C539" s="7"/>
      <c r="H539" s="9"/>
      <c r="I539" s="11"/>
      <c r="J539" s="11"/>
      <c r="K539" s="11"/>
      <c r="L539" s="11" t="s">
        <v>75</v>
      </c>
    </row>
    <row r="540" spans="1:17" ht="14.4">
      <c r="A540" s="6" t="s">
        <v>886</v>
      </c>
      <c r="B540" s="7"/>
      <c r="C540" s="7"/>
      <c r="H540" s="9"/>
      <c r="I540" s="11"/>
      <c r="J540" s="11"/>
      <c r="K540" s="11"/>
      <c r="L540" s="11"/>
      <c r="Q540" s="16">
        <v>45713</v>
      </c>
    </row>
    <row r="541" spans="1:17" ht="14.4">
      <c r="A541" s="6" t="s">
        <v>887</v>
      </c>
      <c r="B541" s="7"/>
      <c r="C541" s="7"/>
      <c r="H541" s="9"/>
      <c r="I541" s="11"/>
      <c r="J541" s="11"/>
      <c r="K541" s="11"/>
      <c r="L541" s="11"/>
      <c r="Q541" s="12" t="s">
        <v>22</v>
      </c>
    </row>
    <row r="542" spans="1:17" ht="14.4">
      <c r="A542" s="9" t="s">
        <v>888</v>
      </c>
      <c r="B542" s="55">
        <v>1141742993</v>
      </c>
      <c r="C542" s="55" t="s">
        <v>889</v>
      </c>
      <c r="E542" s="21" t="s">
        <v>372</v>
      </c>
      <c r="H542" s="91"/>
      <c r="I542" s="63"/>
      <c r="J542" s="63"/>
      <c r="K542" s="63"/>
      <c r="L542" s="63"/>
      <c r="P542" s="14"/>
    </row>
    <row r="543" spans="1:17" ht="14.4">
      <c r="A543" s="6" t="s">
        <v>890</v>
      </c>
      <c r="B543" s="33">
        <v>1134358721</v>
      </c>
      <c r="C543" s="6" t="s">
        <v>891</v>
      </c>
      <c r="H543" s="22"/>
      <c r="I543" s="10" t="s">
        <v>268</v>
      </c>
      <c r="J543" s="11"/>
      <c r="K543" s="11"/>
      <c r="L543" s="11"/>
    </row>
    <row r="544" spans="1:17" ht="14.4">
      <c r="A544" s="14" t="s">
        <v>892</v>
      </c>
      <c r="B544" s="14"/>
      <c r="C544" s="19" t="str">
        <f>HYPERLINK("mailto:gabybozzi@yahoo.com.ar","gabybozzi@yahoo.com.ar")</f>
        <v>gabybozzi@yahoo.com.ar</v>
      </c>
      <c r="D544" s="14"/>
      <c r="E544" s="15">
        <v>41456</v>
      </c>
      <c r="F544" s="14"/>
      <c r="G544" s="14"/>
      <c r="H544" s="10"/>
      <c r="I544" s="10"/>
      <c r="J544" s="10"/>
      <c r="K544" s="10"/>
      <c r="L544" s="10"/>
      <c r="M544" s="14"/>
      <c r="N544" s="14"/>
      <c r="O544" s="14"/>
      <c r="P544" s="14"/>
    </row>
    <row r="545" spans="1:17" ht="14.4">
      <c r="A545" s="6" t="s">
        <v>893</v>
      </c>
      <c r="B545" s="6" t="s">
        <v>103</v>
      </c>
      <c r="C545" s="6" t="s">
        <v>894</v>
      </c>
      <c r="H545" s="40">
        <v>45252</v>
      </c>
      <c r="I545" s="11"/>
      <c r="J545" s="11"/>
      <c r="K545" s="11"/>
      <c r="L545" s="11"/>
    </row>
    <row r="546" spans="1:17" ht="14.4">
      <c r="A546" s="9" t="s">
        <v>895</v>
      </c>
      <c r="B546" s="7"/>
      <c r="C546" s="7"/>
      <c r="H546" s="9" t="s">
        <v>82</v>
      </c>
      <c r="I546" s="11"/>
      <c r="J546" s="11"/>
      <c r="K546" s="11"/>
      <c r="L546" s="11"/>
    </row>
    <row r="547" spans="1:17" ht="14.4">
      <c r="A547" s="6" t="s">
        <v>896</v>
      </c>
      <c r="B547" s="7"/>
      <c r="C547" s="6" t="s">
        <v>897</v>
      </c>
      <c r="H547" s="9" t="s">
        <v>75</v>
      </c>
      <c r="I547" s="11"/>
      <c r="J547" s="11"/>
      <c r="K547" s="11"/>
      <c r="L547" s="11"/>
    </row>
    <row r="548" spans="1:17" ht="14.4">
      <c r="A548" s="6" t="s">
        <v>896</v>
      </c>
      <c r="B548" s="7"/>
      <c r="C548" s="6" t="s">
        <v>897</v>
      </c>
      <c r="H548" s="9"/>
      <c r="I548" s="11"/>
      <c r="J548" s="11"/>
      <c r="K548" s="17" t="s">
        <v>20</v>
      </c>
      <c r="L548" s="11"/>
    </row>
    <row r="549" spans="1:17" ht="14.4">
      <c r="A549" s="6" t="s">
        <v>896</v>
      </c>
      <c r="B549" s="7"/>
      <c r="C549" s="6" t="s">
        <v>897</v>
      </c>
      <c r="H549" s="9"/>
      <c r="I549" s="11"/>
      <c r="J549" s="11"/>
      <c r="K549" s="11"/>
      <c r="L549" s="10" t="s">
        <v>35</v>
      </c>
    </row>
    <row r="550" spans="1:17" ht="14.4">
      <c r="A550" s="6" t="s">
        <v>896</v>
      </c>
      <c r="B550" s="7"/>
      <c r="C550" s="7"/>
      <c r="H550" s="9"/>
      <c r="I550" s="11"/>
      <c r="J550" s="11"/>
      <c r="K550" s="11"/>
      <c r="L550" s="11"/>
      <c r="Q550" s="16">
        <v>45833</v>
      </c>
    </row>
    <row r="551" spans="1:17" ht="14.4">
      <c r="A551" s="6" t="s">
        <v>898</v>
      </c>
      <c r="B551" s="7"/>
      <c r="C551" s="6" t="s">
        <v>899</v>
      </c>
      <c r="H551" s="6" t="s">
        <v>34</v>
      </c>
      <c r="I551" s="11"/>
      <c r="J551" s="11"/>
      <c r="K551" s="11"/>
      <c r="L551" s="11"/>
    </row>
    <row r="552" spans="1:17" ht="14.4">
      <c r="A552" s="6" t="s">
        <v>900</v>
      </c>
      <c r="B552" s="8">
        <v>1134209109</v>
      </c>
      <c r="C552" s="6" t="s">
        <v>901</v>
      </c>
      <c r="H552" s="69" t="s">
        <v>269</v>
      </c>
      <c r="I552" s="11"/>
      <c r="J552" s="35">
        <v>45252</v>
      </c>
      <c r="K552" s="11" t="s">
        <v>110</v>
      </c>
      <c r="L552" s="11"/>
    </row>
    <row r="553" spans="1:17" ht="14.4">
      <c r="A553" s="6" t="s">
        <v>900</v>
      </c>
      <c r="B553" s="8">
        <v>1134209109</v>
      </c>
      <c r="C553" s="6" t="s">
        <v>901</v>
      </c>
      <c r="H553" s="9"/>
      <c r="I553" s="11"/>
      <c r="J553" s="11"/>
      <c r="K553" s="11"/>
      <c r="L553" s="11"/>
      <c r="P553" s="26" t="s">
        <v>75</v>
      </c>
    </row>
    <row r="554" spans="1:17" ht="14.4">
      <c r="A554" s="6" t="s">
        <v>900</v>
      </c>
      <c r="B554" s="7"/>
      <c r="C554" s="7"/>
      <c r="H554" s="9"/>
      <c r="I554" s="11"/>
      <c r="J554" s="11"/>
      <c r="K554" s="11"/>
      <c r="L554" s="10" t="s">
        <v>35</v>
      </c>
    </row>
    <row r="555" spans="1:17" ht="14.4">
      <c r="A555" s="6" t="s">
        <v>900</v>
      </c>
      <c r="B555" s="7"/>
      <c r="C555" s="6"/>
      <c r="H555" s="9"/>
      <c r="I555" s="11"/>
      <c r="J555" s="11"/>
      <c r="K555" s="11"/>
      <c r="L555" s="11"/>
      <c r="Q555" s="16">
        <v>45985</v>
      </c>
    </row>
    <row r="556" spans="1:17" ht="14.4">
      <c r="A556" s="13" t="s">
        <v>902</v>
      </c>
      <c r="B556" s="13" t="s">
        <v>903</v>
      </c>
      <c r="C556" s="46" t="str">
        <f>HYPERLINK("mailto:gabrielapodlesch@hotmail.com","gabrielapodlesch@hotmail.com")</f>
        <v>gabrielapodlesch@hotmail.com</v>
      </c>
      <c r="D556" s="15">
        <v>41518</v>
      </c>
      <c r="E556" s="14"/>
      <c r="F556" s="14"/>
      <c r="G556" s="14"/>
      <c r="H556" s="10"/>
      <c r="I556" s="10"/>
      <c r="J556" s="10"/>
      <c r="K556" s="10"/>
      <c r="L556" s="10"/>
      <c r="M556" s="14"/>
      <c r="N556" s="14"/>
      <c r="O556" s="14"/>
      <c r="P556" s="14"/>
    </row>
    <row r="557" spans="1:17" ht="14.4">
      <c r="A557" s="6" t="s">
        <v>904</v>
      </c>
      <c r="B557" s="55">
        <v>1161701462</v>
      </c>
      <c r="C557" s="18" t="s">
        <v>905</v>
      </c>
      <c r="H557" s="22"/>
      <c r="I557" s="11"/>
      <c r="J557" s="11"/>
      <c r="K557" s="10" t="s">
        <v>212</v>
      </c>
      <c r="L557" s="10"/>
      <c r="P557" s="14"/>
    </row>
    <row r="558" spans="1:17" ht="14.4">
      <c r="A558" s="13" t="s">
        <v>906</v>
      </c>
      <c r="B558" s="13" t="s">
        <v>907</v>
      </c>
      <c r="C558" s="13" t="s">
        <v>908</v>
      </c>
      <c r="D558" s="15">
        <v>41518</v>
      </c>
      <c r="E558" s="14"/>
      <c r="F558" s="14"/>
      <c r="G558" s="14"/>
      <c r="H558" s="10"/>
      <c r="I558" s="10"/>
      <c r="J558" s="10"/>
      <c r="K558" s="10"/>
      <c r="L558" s="10"/>
      <c r="M558" s="14"/>
      <c r="N558" s="14"/>
      <c r="O558" s="14"/>
      <c r="P558" s="14"/>
    </row>
    <row r="559" spans="1:17" ht="14.4">
      <c r="A559" s="6" t="s">
        <v>909</v>
      </c>
      <c r="B559" s="7"/>
      <c r="C559" s="6"/>
      <c r="H559" s="9" t="s">
        <v>51</v>
      </c>
      <c r="I559" s="11"/>
      <c r="J559" s="11"/>
      <c r="K559" s="11"/>
      <c r="L559" s="11"/>
    </row>
    <row r="560" spans="1:17" ht="14.4">
      <c r="A560" s="9" t="s">
        <v>909</v>
      </c>
      <c r="B560" s="7"/>
      <c r="C560" s="6"/>
      <c r="H560" s="9"/>
      <c r="I560" s="41">
        <v>45954</v>
      </c>
      <c r="J560" s="11"/>
      <c r="K560" s="11"/>
      <c r="L560" s="11"/>
    </row>
    <row r="561" spans="1:16" ht="14.4">
      <c r="A561" s="9" t="s">
        <v>909</v>
      </c>
      <c r="B561" s="7"/>
      <c r="C561" s="6"/>
      <c r="H561" s="9"/>
      <c r="I561" s="11"/>
      <c r="J561" s="41">
        <v>45985</v>
      </c>
      <c r="K561" s="11"/>
      <c r="L561" s="11"/>
    </row>
    <row r="562" spans="1:16" ht="14.4">
      <c r="A562" s="6" t="s">
        <v>910</v>
      </c>
      <c r="B562" s="7"/>
      <c r="C562" s="6"/>
      <c r="H562" s="9"/>
      <c r="I562" s="11"/>
      <c r="J562" s="11"/>
      <c r="K562" s="11"/>
      <c r="L562" s="11"/>
      <c r="P562" s="7" t="s">
        <v>49</v>
      </c>
    </row>
    <row r="563" spans="1:16" ht="14.4">
      <c r="A563" s="6" t="s">
        <v>911</v>
      </c>
      <c r="B563" s="7"/>
      <c r="C563" s="7"/>
      <c r="H563" s="9" t="s">
        <v>23</v>
      </c>
      <c r="I563" s="11"/>
      <c r="J563" s="11"/>
      <c r="K563" s="11"/>
      <c r="L563" s="11"/>
    </row>
    <row r="564" spans="1:16" ht="14.4">
      <c r="A564" s="9" t="s">
        <v>911</v>
      </c>
      <c r="B564" s="7"/>
      <c r="C564" s="7"/>
      <c r="H564" s="9"/>
      <c r="I564" s="11" t="s">
        <v>24</v>
      </c>
      <c r="J564" s="11"/>
      <c r="K564" s="11"/>
      <c r="L564" s="11"/>
    </row>
    <row r="565" spans="1:16" ht="14.4">
      <c r="A565" s="14" t="s">
        <v>912</v>
      </c>
      <c r="B565" s="13">
        <v>1556994484</v>
      </c>
      <c r="C565" s="14" t="s">
        <v>913</v>
      </c>
      <c r="D565" s="21" t="s">
        <v>256</v>
      </c>
      <c r="E565" s="14"/>
      <c r="F565" s="14"/>
      <c r="G565" s="14"/>
      <c r="H565" s="23" t="s">
        <v>257</v>
      </c>
      <c r="I565" s="10"/>
      <c r="J565" s="10"/>
      <c r="K565" s="10"/>
      <c r="L565" s="10"/>
      <c r="M565" s="14"/>
      <c r="N565" s="14"/>
      <c r="O565" s="14"/>
      <c r="P565" s="14"/>
    </row>
    <row r="566" spans="1:16" ht="14.4">
      <c r="A566" s="14" t="s">
        <v>914</v>
      </c>
      <c r="B566" s="14" t="s">
        <v>915</v>
      </c>
      <c r="C566" s="19" t="str">
        <f>HYPERLINK("mailto:gastonferrera@gmail.com","gastonferrera@gmail.com")</f>
        <v>gastonferrera@gmail.com</v>
      </c>
      <c r="D566" s="15">
        <v>40664</v>
      </c>
      <c r="E566" s="14"/>
      <c r="F566" s="15">
        <v>40787</v>
      </c>
      <c r="G566" s="14"/>
      <c r="H566" s="10"/>
      <c r="I566" s="10"/>
      <c r="J566" s="10"/>
      <c r="K566" s="10"/>
      <c r="L566" s="10"/>
      <c r="M566" s="14"/>
      <c r="N566" s="14"/>
      <c r="O566" s="14"/>
      <c r="P566" s="14"/>
    </row>
    <row r="567" spans="1:16" ht="14.4">
      <c r="A567" s="14" t="s">
        <v>916</v>
      </c>
      <c r="B567" s="14"/>
      <c r="C567" s="19" t="str">
        <f>HYPERLINK("mailto:gastonsmurra2007@yahoo.com.ar","gastonsmurra2007@yahoo.com.ar")</f>
        <v>gastonsmurra2007@yahoo.com.ar</v>
      </c>
      <c r="D567" s="14"/>
      <c r="E567" s="15">
        <v>41306</v>
      </c>
      <c r="F567" s="14"/>
      <c r="G567" s="14"/>
      <c r="H567" s="10"/>
      <c r="I567" s="10"/>
      <c r="J567" s="10"/>
      <c r="K567" s="10"/>
      <c r="L567" s="10"/>
      <c r="M567" s="14"/>
      <c r="N567" s="14"/>
      <c r="O567" s="14"/>
      <c r="P567" s="14"/>
    </row>
    <row r="568" spans="1:16" ht="14.4">
      <c r="A568" s="14" t="s">
        <v>917</v>
      </c>
      <c r="B568" s="14" t="s">
        <v>918</v>
      </c>
      <c r="C568" s="19" t="str">
        <f>HYPERLINK("mailto:restrepogaviota@hotmail.com","restrepogaviota@hotmail.com")</f>
        <v>restrepogaviota@hotmail.com</v>
      </c>
      <c r="D568" s="15">
        <v>40848</v>
      </c>
      <c r="E568" s="14"/>
      <c r="F568" s="14"/>
      <c r="G568" s="14"/>
      <c r="H568" s="10"/>
      <c r="I568" s="10"/>
      <c r="J568" s="10"/>
      <c r="K568" s="10"/>
      <c r="L568" s="10"/>
      <c r="M568" s="14"/>
      <c r="N568" s="14"/>
      <c r="O568" s="14"/>
      <c r="P568" s="14"/>
    </row>
    <row r="569" spans="1:16" ht="14.4">
      <c r="A569" s="7" t="s">
        <v>919</v>
      </c>
      <c r="B569" s="51" t="s">
        <v>920</v>
      </c>
      <c r="C569" s="50" t="s">
        <v>921</v>
      </c>
      <c r="D569" s="21" t="s">
        <v>71</v>
      </c>
      <c r="H569" s="22"/>
      <c r="I569" s="11"/>
      <c r="J569" s="11"/>
      <c r="K569" s="11"/>
      <c r="L569" s="11"/>
      <c r="P569" s="14"/>
    </row>
    <row r="570" spans="1:16" ht="14.4">
      <c r="A570" s="13" t="s">
        <v>922</v>
      </c>
      <c r="B570" s="13" t="s">
        <v>923</v>
      </c>
      <c r="C570" s="13" t="s">
        <v>924</v>
      </c>
      <c r="D570" s="14"/>
      <c r="E570" s="15">
        <v>41913</v>
      </c>
      <c r="F570" s="14"/>
      <c r="G570" s="14"/>
      <c r="H570" s="10"/>
      <c r="I570" s="10"/>
      <c r="J570" s="10"/>
      <c r="K570" s="10"/>
      <c r="L570" s="10"/>
      <c r="M570" s="14"/>
      <c r="N570" s="14"/>
      <c r="O570" s="14"/>
      <c r="P570" s="14"/>
    </row>
    <row r="571" spans="1:16" ht="14.4">
      <c r="A571" s="14" t="s">
        <v>925</v>
      </c>
      <c r="B571" s="14" t="s">
        <v>926</v>
      </c>
      <c r="C571" s="19" t="str">
        <f>HYPERLINK("mailto:riotgirl_06@hotmail.com","riotgirl_06@hotmail.com")</f>
        <v>riotgirl_06@hotmail.com</v>
      </c>
      <c r="D571" s="15">
        <v>40664</v>
      </c>
      <c r="E571" s="14"/>
      <c r="F571" s="14"/>
      <c r="G571" s="14"/>
      <c r="H571" s="10"/>
      <c r="I571" s="10"/>
      <c r="J571" s="10"/>
      <c r="K571" s="10"/>
      <c r="L571" s="10"/>
      <c r="M571" s="14"/>
      <c r="N571" s="14"/>
      <c r="O571" s="14"/>
      <c r="P571" s="14"/>
    </row>
    <row r="572" spans="1:16" ht="14.4">
      <c r="A572" s="9" t="s">
        <v>927</v>
      </c>
      <c r="B572" s="7"/>
      <c r="C572" s="7"/>
      <c r="H572" s="9" t="s">
        <v>82</v>
      </c>
      <c r="I572" s="11"/>
      <c r="J572" s="11"/>
      <c r="K572" s="11"/>
      <c r="L572" s="11"/>
    </row>
    <row r="573" spans="1:16" ht="14.4">
      <c r="A573" s="9" t="s">
        <v>927</v>
      </c>
      <c r="B573" s="7"/>
      <c r="C573" s="7"/>
      <c r="H573" s="9"/>
      <c r="I573" s="35">
        <v>45713</v>
      </c>
      <c r="J573" s="11"/>
      <c r="K573" s="11"/>
      <c r="L573" s="11"/>
    </row>
    <row r="574" spans="1:16" ht="14.4">
      <c r="A574" s="14" t="s">
        <v>928</v>
      </c>
      <c r="B574" s="14" t="s">
        <v>929</v>
      </c>
      <c r="C574" s="19" t="str">
        <f>HYPERLINK("mailto:germankirschner@gmail.com","germankirschner@gmail.com")</f>
        <v>germankirschner@gmail.com</v>
      </c>
      <c r="D574" s="15">
        <v>41183</v>
      </c>
      <c r="E574" s="14"/>
      <c r="F574" s="14"/>
      <c r="G574" s="14"/>
      <c r="H574" s="10"/>
      <c r="I574" s="10"/>
      <c r="J574" s="10"/>
      <c r="K574" s="10"/>
      <c r="L574" s="10"/>
      <c r="M574" s="14"/>
      <c r="N574" s="14"/>
      <c r="O574" s="14"/>
      <c r="P574" s="14"/>
    </row>
    <row r="575" spans="1:16" ht="14.4">
      <c r="A575" s="14" t="s">
        <v>930</v>
      </c>
      <c r="B575" s="14" t="s">
        <v>931</v>
      </c>
      <c r="C575" s="19" t="str">
        <f>HYPERLINK("mailto:gresco@gmail.com","gresco@gmail.com")</f>
        <v>gresco@gmail.com</v>
      </c>
      <c r="D575" s="15">
        <v>41091</v>
      </c>
      <c r="E575" s="14"/>
      <c r="F575" s="14"/>
      <c r="G575" s="14"/>
      <c r="H575" s="10"/>
      <c r="I575" s="10"/>
      <c r="J575" s="10"/>
      <c r="K575" s="10"/>
      <c r="L575" s="10"/>
      <c r="M575" s="14"/>
      <c r="N575" s="14"/>
      <c r="O575" s="14"/>
      <c r="P575" s="14"/>
    </row>
    <row r="576" spans="1:16" ht="14.4">
      <c r="A576" s="14" t="s">
        <v>932</v>
      </c>
      <c r="B576" s="17">
        <v>1554557026</v>
      </c>
      <c r="C576" s="17" t="s">
        <v>933</v>
      </c>
      <c r="D576" s="14"/>
      <c r="E576" s="14"/>
      <c r="F576" s="14"/>
      <c r="G576" s="6"/>
      <c r="H576" s="23" t="s">
        <v>934</v>
      </c>
      <c r="I576" s="10"/>
      <c r="J576" s="10"/>
      <c r="K576" s="10"/>
      <c r="L576" s="10"/>
      <c r="P576" s="14"/>
    </row>
    <row r="577" spans="1:16" ht="14.4">
      <c r="A577" s="14" t="s">
        <v>935</v>
      </c>
      <c r="B577" s="27">
        <v>1551132157</v>
      </c>
      <c r="C577" s="10" t="s">
        <v>936</v>
      </c>
      <c r="D577" s="14"/>
      <c r="E577" s="14"/>
      <c r="F577" s="14"/>
      <c r="G577" s="6"/>
      <c r="H577" s="30" t="s">
        <v>71</v>
      </c>
      <c r="I577" s="17" t="s">
        <v>72</v>
      </c>
      <c r="J577" s="11" t="s">
        <v>73</v>
      </c>
      <c r="K577" s="11"/>
      <c r="L577" s="11"/>
      <c r="P577" s="14"/>
    </row>
    <row r="578" spans="1:16" ht="14.4">
      <c r="A578" s="6" t="s">
        <v>937</v>
      </c>
      <c r="B578" s="6" t="s">
        <v>103</v>
      </c>
      <c r="C578" s="6" t="s">
        <v>938</v>
      </c>
      <c r="H578" s="40">
        <v>45252</v>
      </c>
      <c r="I578" s="11" t="s">
        <v>101</v>
      </c>
      <c r="J578" s="11"/>
      <c r="K578" s="11"/>
      <c r="L578" s="11"/>
    </row>
    <row r="579" spans="1:16" ht="14.4">
      <c r="A579" s="6" t="s">
        <v>937</v>
      </c>
      <c r="B579" s="6" t="s">
        <v>103</v>
      </c>
      <c r="C579" s="6" t="s">
        <v>938</v>
      </c>
      <c r="H579" s="9"/>
      <c r="I579" s="9" t="s">
        <v>109</v>
      </c>
      <c r="J579" s="11"/>
      <c r="K579" s="11"/>
      <c r="L579" s="11"/>
    </row>
    <row r="580" spans="1:16" ht="14.4">
      <c r="A580" s="9" t="s">
        <v>939</v>
      </c>
      <c r="B580" s="7"/>
      <c r="C580" s="7"/>
      <c r="H580" s="9" t="s">
        <v>82</v>
      </c>
      <c r="I580" s="11"/>
      <c r="J580" s="11"/>
      <c r="K580" s="11"/>
      <c r="L580" s="11"/>
    </row>
    <row r="581" spans="1:16" ht="14.4">
      <c r="A581" s="9" t="s">
        <v>939</v>
      </c>
      <c r="B581" s="7"/>
      <c r="C581" s="7"/>
      <c r="H581" s="9"/>
      <c r="I581" s="35">
        <v>45713</v>
      </c>
      <c r="J581" s="11"/>
      <c r="K581" s="11"/>
      <c r="L581" s="11"/>
    </row>
    <row r="582" spans="1:16" ht="14.4">
      <c r="A582" s="6" t="s">
        <v>940</v>
      </c>
      <c r="B582" s="7"/>
      <c r="C582" s="7"/>
      <c r="H582" s="9" t="s">
        <v>123</v>
      </c>
      <c r="I582" s="11"/>
      <c r="J582" s="11"/>
      <c r="K582" s="11"/>
      <c r="L582" s="11"/>
    </row>
    <row r="583" spans="1:16" ht="14.4">
      <c r="A583" s="6" t="s">
        <v>941</v>
      </c>
      <c r="B583" s="7"/>
      <c r="C583" s="7"/>
      <c r="H583" s="17" t="s">
        <v>19</v>
      </c>
      <c r="I583" s="11"/>
      <c r="J583" s="11"/>
      <c r="K583" s="11"/>
      <c r="L583" s="11"/>
    </row>
    <row r="584" spans="1:16" ht="14.4">
      <c r="A584" s="6" t="s">
        <v>941</v>
      </c>
      <c r="B584" s="7"/>
      <c r="C584" s="7"/>
      <c r="H584" s="9"/>
      <c r="I584" s="10" t="s">
        <v>20</v>
      </c>
      <c r="J584" s="11"/>
      <c r="K584" s="11"/>
      <c r="L584" s="11"/>
    </row>
    <row r="585" spans="1:16" ht="14.4">
      <c r="A585" s="7" t="s">
        <v>942</v>
      </c>
      <c r="B585" s="7"/>
      <c r="C585" s="7"/>
      <c r="H585" s="17" t="s">
        <v>20</v>
      </c>
      <c r="I585" s="11"/>
      <c r="J585" s="11"/>
      <c r="K585" s="11"/>
      <c r="L585" s="11"/>
    </row>
    <row r="586" spans="1:16" ht="14.4">
      <c r="A586" s="6" t="s">
        <v>943</v>
      </c>
      <c r="B586" s="6"/>
      <c r="C586" s="92" t="s">
        <v>944</v>
      </c>
      <c r="D586" s="14"/>
      <c r="E586" s="14"/>
      <c r="F586" s="14"/>
      <c r="G586" s="6"/>
      <c r="H586" s="43" t="s">
        <v>143</v>
      </c>
      <c r="I586" s="10"/>
      <c r="J586" s="11"/>
      <c r="K586" s="11"/>
      <c r="L586" s="11"/>
    </row>
    <row r="587" spans="1:16" ht="14.4">
      <c r="A587" s="6" t="s">
        <v>945</v>
      </c>
      <c r="B587" s="7"/>
      <c r="C587" s="7"/>
      <c r="H587" s="9" t="s">
        <v>82</v>
      </c>
      <c r="I587" s="11"/>
      <c r="J587" s="11"/>
      <c r="K587" s="11"/>
      <c r="L587" s="11"/>
    </row>
    <row r="588" spans="1:16" ht="14.4">
      <c r="A588" s="6" t="s">
        <v>946</v>
      </c>
      <c r="B588" s="29">
        <v>1158879563</v>
      </c>
      <c r="C588" s="14" t="s">
        <v>947</v>
      </c>
      <c r="D588" s="14" t="s">
        <v>100</v>
      </c>
      <c r="H588" s="22" t="s">
        <v>275</v>
      </c>
      <c r="I588" s="10" t="s">
        <v>948</v>
      </c>
      <c r="J588" s="10" t="s">
        <v>220</v>
      </c>
      <c r="K588" s="11"/>
      <c r="L588" s="11"/>
      <c r="P588" s="12" t="s">
        <v>949</v>
      </c>
    </row>
    <row r="589" spans="1:16" ht="14.4">
      <c r="A589" s="6" t="s">
        <v>946</v>
      </c>
      <c r="B589" s="29">
        <v>1158879563</v>
      </c>
      <c r="C589" s="6" t="s">
        <v>947</v>
      </c>
      <c r="H589" s="22"/>
      <c r="I589" s="11"/>
      <c r="J589" s="11"/>
      <c r="K589" s="11"/>
      <c r="L589" s="11"/>
      <c r="P589" s="43" t="s">
        <v>295</v>
      </c>
    </row>
    <row r="590" spans="1:16" ht="14.4">
      <c r="A590" s="6" t="s">
        <v>950</v>
      </c>
      <c r="B590" s="8">
        <v>2223504664</v>
      </c>
      <c r="C590" s="6" t="s">
        <v>951</v>
      </c>
      <c r="H590" s="43" t="s">
        <v>143</v>
      </c>
      <c r="I590" s="11" t="s">
        <v>110</v>
      </c>
      <c r="J590" s="11"/>
      <c r="K590" s="11"/>
      <c r="L590" s="11"/>
    </row>
    <row r="591" spans="1:16" ht="14.4">
      <c r="A591" s="6" t="s">
        <v>950</v>
      </c>
      <c r="B591" s="8">
        <v>2223504664</v>
      </c>
      <c r="C591" s="6" t="s">
        <v>951</v>
      </c>
      <c r="H591" s="22"/>
      <c r="I591" s="11"/>
      <c r="J591" s="11"/>
      <c r="K591" s="11"/>
      <c r="L591" s="11"/>
      <c r="P591" s="43" t="s">
        <v>295</v>
      </c>
    </row>
    <row r="592" spans="1:16" ht="14.4">
      <c r="A592" s="6" t="s">
        <v>950</v>
      </c>
      <c r="B592" s="7"/>
      <c r="C592" s="7"/>
      <c r="H592" s="22"/>
      <c r="I592" s="11"/>
      <c r="J592" s="35">
        <v>45252</v>
      </c>
      <c r="K592" s="11"/>
      <c r="L592" s="11"/>
    </row>
    <row r="593" spans="1:17" ht="14.4">
      <c r="A593" s="6" t="s">
        <v>952</v>
      </c>
      <c r="B593" s="33">
        <v>2392674886</v>
      </c>
      <c r="C593" s="6" t="s">
        <v>953</v>
      </c>
      <c r="D593" t="s">
        <v>689</v>
      </c>
      <c r="H593" s="53" t="s">
        <v>194</v>
      </c>
      <c r="I593" s="43" t="s">
        <v>247</v>
      </c>
      <c r="J593" t="s">
        <v>689</v>
      </c>
      <c r="K593" s="11"/>
      <c r="L593" s="11"/>
    </row>
    <row r="594" spans="1:17" ht="14.4">
      <c r="A594" s="6" t="s">
        <v>954</v>
      </c>
      <c r="B594" s="7"/>
      <c r="C594" s="7"/>
      <c r="H594" s="9"/>
      <c r="I594" s="11"/>
      <c r="J594" s="11"/>
      <c r="K594" s="11"/>
      <c r="L594" s="11"/>
      <c r="Q594" s="16">
        <v>45713</v>
      </c>
    </row>
    <row r="595" spans="1:17" ht="14.4">
      <c r="A595" s="6" t="s">
        <v>955</v>
      </c>
      <c r="B595" s="7"/>
      <c r="C595" s="7"/>
      <c r="H595" s="9"/>
      <c r="I595" s="11"/>
      <c r="J595" s="11"/>
      <c r="K595" s="11" t="s">
        <v>24</v>
      </c>
      <c r="L595" s="11"/>
    </row>
    <row r="596" spans="1:17" ht="14.4">
      <c r="A596" s="6" t="s">
        <v>956</v>
      </c>
      <c r="B596" s="7"/>
      <c r="C596" s="6"/>
      <c r="H596" s="9"/>
      <c r="I596" s="11"/>
      <c r="J596" s="11"/>
      <c r="K596" s="11"/>
      <c r="L596" s="11"/>
      <c r="P596" s="7" t="s">
        <v>49</v>
      </c>
    </row>
    <row r="597" spans="1:17" ht="14.4">
      <c r="A597" s="6" t="s">
        <v>957</v>
      </c>
      <c r="B597" s="7"/>
      <c r="C597" s="7"/>
      <c r="H597" s="9"/>
      <c r="I597" s="11"/>
      <c r="J597" s="11"/>
      <c r="K597" s="11"/>
      <c r="L597" s="11"/>
      <c r="Q597" s="12" t="s">
        <v>22</v>
      </c>
    </row>
    <row r="598" spans="1:17" ht="14.4">
      <c r="A598" s="6" t="s">
        <v>957</v>
      </c>
      <c r="B598" s="7"/>
      <c r="C598" s="7"/>
      <c r="H598" s="9" t="s">
        <v>65</v>
      </c>
      <c r="I598" s="11"/>
      <c r="J598" s="11"/>
      <c r="K598" s="11"/>
      <c r="L598" s="11"/>
    </row>
    <row r="599" spans="1:17" ht="14.4">
      <c r="A599" s="6" t="s">
        <v>957</v>
      </c>
      <c r="B599" s="7"/>
      <c r="C599" s="7"/>
      <c r="H599" s="9"/>
      <c r="I599" s="11" t="s">
        <v>22</v>
      </c>
      <c r="J599" s="11"/>
      <c r="K599" s="11"/>
      <c r="L599" s="11"/>
    </row>
    <row r="600" spans="1:17" ht="14.4">
      <c r="A600" s="18" t="s">
        <v>958</v>
      </c>
      <c r="B600" s="29">
        <v>1144003380</v>
      </c>
      <c r="C600" s="18" t="s">
        <v>959</v>
      </c>
      <c r="H600" s="53" t="s">
        <v>730</v>
      </c>
      <c r="I600" s="11"/>
      <c r="J600" s="11"/>
      <c r="K600" s="11"/>
      <c r="L600" s="11"/>
    </row>
    <row r="601" spans="1:17" ht="14.4">
      <c r="A601" s="14" t="s">
        <v>960</v>
      </c>
      <c r="B601" s="14" t="s">
        <v>961</v>
      </c>
      <c r="C601" s="19" t="str">
        <f>HYPERLINK("mailto:graciela.chalita@gmail.com","graciela.chalita@gmail.com")</f>
        <v>graciela.chalita@gmail.com</v>
      </c>
      <c r="D601" s="15">
        <v>41183</v>
      </c>
      <c r="E601" s="14"/>
      <c r="F601" s="14"/>
      <c r="G601" s="14"/>
      <c r="H601" s="10"/>
      <c r="I601" s="10"/>
      <c r="J601" s="10"/>
      <c r="K601" s="10"/>
      <c r="L601" s="10"/>
      <c r="M601" s="14"/>
      <c r="N601" s="14"/>
      <c r="O601" s="14"/>
      <c r="P601" s="14"/>
    </row>
    <row r="602" spans="1:17" ht="14.4">
      <c r="A602" s="6" t="s">
        <v>962</v>
      </c>
      <c r="B602" s="6" t="s">
        <v>103</v>
      </c>
      <c r="C602" s="6" t="s">
        <v>963</v>
      </c>
      <c r="H602" s="40">
        <v>45252</v>
      </c>
      <c r="I602" s="11"/>
      <c r="J602" s="11"/>
      <c r="K602" s="11"/>
      <c r="L602" s="11"/>
    </row>
    <row r="603" spans="1:17" ht="14.4">
      <c r="A603" s="6" t="s">
        <v>964</v>
      </c>
      <c r="B603" s="7"/>
      <c r="C603" s="7"/>
      <c r="H603" s="9"/>
      <c r="I603" s="11"/>
      <c r="J603" s="11"/>
      <c r="K603" s="11"/>
      <c r="L603" s="11"/>
      <c r="Q603" s="16">
        <v>45833</v>
      </c>
    </row>
    <row r="604" spans="1:17" ht="14.4">
      <c r="A604" s="6" t="s">
        <v>965</v>
      </c>
      <c r="B604" s="6" t="s">
        <v>103</v>
      </c>
      <c r="C604" s="6" t="s">
        <v>966</v>
      </c>
      <c r="H604" s="40">
        <v>45252</v>
      </c>
      <c r="I604" s="11"/>
      <c r="J604" s="11"/>
      <c r="K604" s="11"/>
      <c r="L604" s="11"/>
    </row>
    <row r="605" spans="1:17" ht="14.4">
      <c r="A605" s="14" t="s">
        <v>967</v>
      </c>
      <c r="B605" s="13">
        <v>1566544665</v>
      </c>
      <c r="C605" s="14" t="s">
        <v>968</v>
      </c>
      <c r="D605" s="15">
        <v>41000</v>
      </c>
      <c r="E605" s="14"/>
      <c r="F605" s="14"/>
      <c r="G605" s="14"/>
      <c r="H605" s="10"/>
      <c r="I605" s="10"/>
      <c r="J605" s="10"/>
      <c r="K605" s="10"/>
      <c r="L605" s="10"/>
      <c r="M605" s="14"/>
      <c r="N605" s="14"/>
      <c r="O605" s="14"/>
      <c r="P605" s="14"/>
    </row>
    <row r="606" spans="1:17" ht="14.4">
      <c r="A606" s="14" t="s">
        <v>969</v>
      </c>
      <c r="B606" s="14"/>
      <c r="C606" s="19" t="str">
        <f>HYPERLINK("mailto:graizaguirre@gmail.com","graizaguirre@gmail.com")</f>
        <v>graizaguirre@gmail.com</v>
      </c>
      <c r="D606" s="14"/>
      <c r="E606" s="15">
        <v>41306</v>
      </c>
      <c r="F606" s="14"/>
      <c r="G606" s="14"/>
      <c r="H606" s="10"/>
      <c r="I606" s="10"/>
      <c r="J606" s="10"/>
      <c r="K606" s="10"/>
      <c r="L606" s="10"/>
      <c r="M606" s="14"/>
      <c r="N606" s="14"/>
      <c r="O606" s="14"/>
      <c r="P606" s="14"/>
    </row>
    <row r="607" spans="1:17" ht="14.4">
      <c r="A607" s="14" t="s">
        <v>970</v>
      </c>
      <c r="B607" s="14" t="s">
        <v>971</v>
      </c>
      <c r="C607" s="19" t="str">
        <f>HYPERLINK("mailto:grecesanchez@yahoo.com.ar","grecesanchez@yahoo.com.ar")</f>
        <v>grecesanchez@yahoo.com.ar</v>
      </c>
      <c r="D607" s="14"/>
      <c r="E607" s="14"/>
      <c r="F607" s="15">
        <v>41000</v>
      </c>
      <c r="G607" s="14"/>
      <c r="H607" s="10"/>
      <c r="I607" s="10"/>
      <c r="J607" s="10"/>
      <c r="K607" s="10"/>
      <c r="L607" s="10"/>
      <c r="M607" s="14"/>
      <c r="N607" s="14"/>
      <c r="O607" s="14"/>
    </row>
    <row r="608" spans="1:17" ht="14.4">
      <c r="A608" s="45" t="s">
        <v>972</v>
      </c>
      <c r="B608" s="13" t="s">
        <v>973</v>
      </c>
      <c r="C608" s="13" t="s">
        <v>974</v>
      </c>
      <c r="D608" s="14"/>
      <c r="E608" s="15">
        <v>41913</v>
      </c>
      <c r="F608" s="14"/>
      <c r="G608" s="14"/>
      <c r="H608" s="10"/>
      <c r="I608" s="10"/>
      <c r="J608" s="10"/>
      <c r="K608" s="10"/>
      <c r="L608" s="10"/>
      <c r="M608" s="14"/>
      <c r="N608" s="14"/>
      <c r="O608" s="14"/>
      <c r="P608" s="14"/>
    </row>
    <row r="609" spans="1:16" ht="14.4">
      <c r="A609" s="6" t="s">
        <v>975</v>
      </c>
      <c r="B609" s="7"/>
      <c r="C609" s="6" t="s">
        <v>976</v>
      </c>
      <c r="H609" s="17" t="s">
        <v>19</v>
      </c>
      <c r="I609" s="11"/>
      <c r="J609" s="11"/>
      <c r="K609" s="11"/>
      <c r="L609" s="11"/>
    </row>
    <row r="610" spans="1:16" ht="14.4">
      <c r="A610" s="6" t="s">
        <v>977</v>
      </c>
      <c r="B610" s="33">
        <v>1169062532</v>
      </c>
      <c r="C610" s="6" t="s">
        <v>978</v>
      </c>
      <c r="D610" t="s">
        <v>689</v>
      </c>
      <c r="H610" s="22"/>
      <c r="I610" s="11"/>
      <c r="J610" s="11"/>
      <c r="K610" s="11"/>
      <c r="L610" s="11"/>
    </row>
    <row r="611" spans="1:16" ht="14.4">
      <c r="A611" s="6" t="s">
        <v>979</v>
      </c>
      <c r="B611" s="6" t="s">
        <v>103</v>
      </c>
      <c r="C611" s="6" t="s">
        <v>980</v>
      </c>
      <c r="H611" s="40">
        <v>45252</v>
      </c>
      <c r="I611" s="11" t="s">
        <v>101</v>
      </c>
      <c r="J611" s="11"/>
      <c r="K611" s="11"/>
      <c r="L611" s="11"/>
    </row>
    <row r="612" spans="1:16" ht="14.4">
      <c r="A612" s="6" t="s">
        <v>979</v>
      </c>
      <c r="B612" s="6" t="s">
        <v>103</v>
      </c>
      <c r="C612" s="6" t="s">
        <v>980</v>
      </c>
      <c r="H612" s="9"/>
      <c r="I612" s="9" t="s">
        <v>109</v>
      </c>
      <c r="J612" s="11"/>
      <c r="K612" s="11"/>
      <c r="L612" s="11"/>
    </row>
    <row r="613" spans="1:16" ht="14.4">
      <c r="A613" s="6" t="s">
        <v>979</v>
      </c>
      <c r="B613" s="6" t="s">
        <v>103</v>
      </c>
      <c r="C613" s="6" t="s">
        <v>980</v>
      </c>
      <c r="H613" s="9"/>
      <c r="I613" s="11"/>
      <c r="J613" s="11"/>
      <c r="K613" s="11" t="s">
        <v>159</v>
      </c>
      <c r="L613" s="11"/>
    </row>
    <row r="614" spans="1:16" ht="14.4">
      <c r="A614" s="14" t="s">
        <v>981</v>
      </c>
      <c r="B614" s="13"/>
      <c r="C614" s="14" t="s">
        <v>982</v>
      </c>
      <c r="D614" s="14"/>
      <c r="E614" s="49">
        <v>42903</v>
      </c>
      <c r="F614" s="14"/>
      <c r="G614" s="14"/>
      <c r="H614" s="10"/>
      <c r="I614" s="10"/>
      <c r="J614" s="10"/>
      <c r="K614" s="10"/>
      <c r="L614" s="10"/>
      <c r="M614" s="14"/>
      <c r="N614" s="14"/>
      <c r="O614" s="14"/>
      <c r="P614" s="14"/>
    </row>
    <row r="615" spans="1:16" ht="14.4">
      <c r="A615" s="6" t="s">
        <v>983</v>
      </c>
      <c r="B615" s="8">
        <v>1137553245</v>
      </c>
      <c r="C615" s="6" t="s">
        <v>984</v>
      </c>
      <c r="H615" s="22"/>
      <c r="I615" s="11"/>
      <c r="J615" s="11"/>
      <c r="K615" s="11" t="s">
        <v>110</v>
      </c>
      <c r="L615" s="11"/>
    </row>
    <row r="616" spans="1:16" ht="14.4">
      <c r="A616" s="14" t="s">
        <v>985</v>
      </c>
      <c r="B616" s="17" t="s">
        <v>986</v>
      </c>
      <c r="C616" s="28" t="s">
        <v>987</v>
      </c>
      <c r="D616" s="14"/>
      <c r="E616" s="14"/>
      <c r="F616" s="14"/>
      <c r="G616" s="6"/>
      <c r="H616" s="30" t="s">
        <v>71</v>
      </c>
      <c r="I616" s="43" t="s">
        <v>247</v>
      </c>
      <c r="J616" s="11"/>
      <c r="K616" s="11"/>
      <c r="L616" s="11"/>
    </row>
    <row r="617" spans="1:16" ht="14.4">
      <c r="A617" s="6" t="s">
        <v>988</v>
      </c>
      <c r="B617" s="7"/>
      <c r="C617" s="6"/>
      <c r="H617" s="9"/>
      <c r="I617" s="10" t="s">
        <v>30</v>
      </c>
      <c r="J617" s="11"/>
      <c r="K617" s="11"/>
      <c r="L617" s="11"/>
    </row>
    <row r="618" spans="1:16" ht="14.4">
      <c r="A618" s="6" t="s">
        <v>989</v>
      </c>
      <c r="B618" s="7"/>
      <c r="C618" s="6"/>
      <c r="H618" s="9" t="s">
        <v>51</v>
      </c>
      <c r="I618" s="11"/>
      <c r="J618" s="11"/>
      <c r="K618" s="11"/>
      <c r="L618" s="11"/>
    </row>
    <row r="619" spans="1:16" ht="14.4">
      <c r="A619" s="14" t="s">
        <v>990</v>
      </c>
      <c r="B619" s="14" t="s">
        <v>991</v>
      </c>
      <c r="C619" s="19" t="str">
        <f>HYPERLINK("mailto:guillermo.serra@gmail.com","guillermo.serra@gmail.com")</f>
        <v>guillermo.serra@gmail.com</v>
      </c>
      <c r="D619" s="13"/>
      <c r="E619" s="14"/>
      <c r="F619" s="15">
        <v>40787</v>
      </c>
      <c r="G619" s="14"/>
      <c r="H619" s="9" t="s">
        <v>54</v>
      </c>
      <c r="I619" s="23" t="s">
        <v>55</v>
      </c>
      <c r="J619" s="10" t="s">
        <v>56</v>
      </c>
      <c r="K619" s="10" t="s">
        <v>91</v>
      </c>
      <c r="L619" s="10"/>
      <c r="M619" s="14"/>
      <c r="N619" s="14"/>
      <c r="O619" s="14"/>
      <c r="P619" s="14"/>
    </row>
    <row r="620" spans="1:16" ht="14.4">
      <c r="A620" s="6" t="s">
        <v>992</v>
      </c>
      <c r="B620" s="6" t="s">
        <v>993</v>
      </c>
      <c r="C620" s="9" t="s">
        <v>994</v>
      </c>
      <c r="H620" s="6" t="s">
        <v>34</v>
      </c>
      <c r="I620" s="11"/>
      <c r="J620" s="11"/>
      <c r="K620" s="11"/>
      <c r="L620" s="11"/>
      <c r="P620" s="43" t="s">
        <v>295</v>
      </c>
    </row>
    <row r="621" spans="1:16" ht="14.4">
      <c r="A621" s="6" t="s">
        <v>995</v>
      </c>
      <c r="B621" s="7"/>
      <c r="C621" s="7"/>
      <c r="H621" s="9" t="s">
        <v>82</v>
      </c>
      <c r="I621" s="11"/>
      <c r="J621" s="11"/>
      <c r="K621" s="11"/>
      <c r="L621" s="11"/>
    </row>
    <row r="622" spans="1:16" ht="14.4">
      <c r="A622" s="6" t="s">
        <v>996</v>
      </c>
      <c r="B622" s="7"/>
      <c r="C622" s="6" t="s">
        <v>997</v>
      </c>
      <c r="H622" s="6" t="s">
        <v>34</v>
      </c>
      <c r="I622" s="11"/>
      <c r="J622" s="11"/>
      <c r="K622" s="11"/>
      <c r="L622" s="11"/>
    </row>
    <row r="623" spans="1:16" ht="14.4">
      <c r="A623" s="6" t="s">
        <v>996</v>
      </c>
      <c r="B623" s="6"/>
      <c r="C623" s="6" t="s">
        <v>997</v>
      </c>
      <c r="H623" s="9" t="s">
        <v>109</v>
      </c>
      <c r="I623" s="11"/>
      <c r="J623" s="11"/>
      <c r="K623" s="11"/>
      <c r="L623" s="11"/>
    </row>
    <row r="624" spans="1:16" ht="14.4">
      <c r="A624" s="6" t="s">
        <v>996</v>
      </c>
      <c r="B624" s="6"/>
      <c r="C624" s="6" t="s">
        <v>997</v>
      </c>
      <c r="H624" s="9"/>
      <c r="I624" s="11"/>
      <c r="J624" s="11" t="s">
        <v>159</v>
      </c>
      <c r="K624" s="11"/>
      <c r="L624" s="11"/>
    </row>
    <row r="625" spans="1:17" ht="14.4">
      <c r="A625" s="6" t="s">
        <v>996</v>
      </c>
      <c r="B625" s="7"/>
      <c r="C625" s="7"/>
      <c r="H625" s="9"/>
      <c r="I625" s="11"/>
      <c r="J625" s="11"/>
      <c r="K625" s="11" t="s">
        <v>22</v>
      </c>
      <c r="L625" s="11"/>
    </row>
    <row r="626" spans="1:17" ht="14.4">
      <c r="A626" s="6" t="s">
        <v>998</v>
      </c>
      <c r="B626" s="7"/>
      <c r="C626" s="6"/>
      <c r="H626" s="9" t="s">
        <v>51</v>
      </c>
      <c r="I626" s="11"/>
      <c r="J626" s="11"/>
      <c r="K626" s="11"/>
      <c r="L626" s="11"/>
    </row>
    <row r="627" spans="1:17" ht="14.4">
      <c r="A627" s="6" t="s">
        <v>999</v>
      </c>
      <c r="B627" s="7"/>
      <c r="C627" s="7"/>
      <c r="H627" s="9" t="s">
        <v>75</v>
      </c>
      <c r="I627" s="11"/>
      <c r="J627" s="11"/>
      <c r="K627" s="11"/>
      <c r="L627" s="11"/>
    </row>
    <row r="628" spans="1:17" ht="14.4">
      <c r="A628" s="9" t="s">
        <v>999</v>
      </c>
      <c r="B628" s="7"/>
      <c r="C628" s="7"/>
      <c r="H628" s="9"/>
      <c r="I628" s="11"/>
      <c r="J628" s="10" t="s">
        <v>19</v>
      </c>
      <c r="K628" s="11"/>
      <c r="L628" s="11"/>
    </row>
    <row r="629" spans="1:17" ht="14.4">
      <c r="A629" s="9" t="s">
        <v>999</v>
      </c>
      <c r="B629" s="7"/>
      <c r="C629" s="7"/>
      <c r="H629" s="9"/>
      <c r="I629" s="11"/>
      <c r="J629" s="11"/>
      <c r="K629" s="17" t="s">
        <v>20</v>
      </c>
      <c r="L629" s="11"/>
    </row>
    <row r="630" spans="1:17" ht="14.4">
      <c r="A630" s="9" t="s">
        <v>999</v>
      </c>
      <c r="B630" s="7"/>
      <c r="C630" s="7"/>
      <c r="H630" s="9"/>
      <c r="I630" s="11"/>
      <c r="J630" s="11"/>
      <c r="K630" s="11"/>
      <c r="L630" s="10" t="s">
        <v>35</v>
      </c>
    </row>
    <row r="631" spans="1:17" ht="14.4">
      <c r="A631" s="6" t="s">
        <v>999</v>
      </c>
      <c r="B631" s="7"/>
      <c r="C631" s="6"/>
      <c r="H631" s="9"/>
      <c r="I631" s="11"/>
      <c r="J631" s="11"/>
      <c r="K631" s="11"/>
      <c r="L631" s="11"/>
      <c r="Q631" s="16">
        <v>45985</v>
      </c>
    </row>
    <row r="632" spans="1:17" ht="14.4">
      <c r="A632" s="6" t="s">
        <v>999</v>
      </c>
      <c r="B632" s="7"/>
      <c r="C632" s="6"/>
      <c r="H632" s="9" t="s">
        <v>50</v>
      </c>
      <c r="I632" s="11"/>
      <c r="J632" s="11"/>
      <c r="K632" s="11"/>
      <c r="L632" s="11"/>
    </row>
    <row r="633" spans="1:17" ht="14.4">
      <c r="A633" s="6" t="s">
        <v>999</v>
      </c>
      <c r="B633" s="7"/>
      <c r="C633" s="6"/>
      <c r="H633" s="9"/>
      <c r="I633" s="10" t="s">
        <v>51</v>
      </c>
      <c r="J633" s="11"/>
      <c r="K633" s="11"/>
      <c r="L633" s="11"/>
    </row>
    <row r="634" spans="1:17" ht="14.4">
      <c r="A634" s="6" t="s">
        <v>999</v>
      </c>
      <c r="B634" s="7"/>
      <c r="C634" s="6"/>
      <c r="H634" s="9"/>
      <c r="I634" s="11"/>
      <c r="J634" s="41">
        <v>45954</v>
      </c>
      <c r="K634" s="11"/>
      <c r="L634" s="11"/>
    </row>
    <row r="635" spans="1:17" ht="14.4">
      <c r="A635" s="6" t="s">
        <v>1000</v>
      </c>
      <c r="B635" s="7"/>
      <c r="C635" s="7"/>
      <c r="H635" s="9"/>
      <c r="I635" s="11"/>
      <c r="J635" s="11"/>
      <c r="K635" s="11"/>
      <c r="L635" s="11"/>
      <c r="Q635" s="16">
        <v>45713</v>
      </c>
    </row>
    <row r="636" spans="1:17" ht="14.4">
      <c r="A636" s="7" t="s">
        <v>1001</v>
      </c>
      <c r="B636" s="32">
        <v>1552473002</v>
      </c>
      <c r="C636" s="32" t="s">
        <v>1002</v>
      </c>
      <c r="E636" s="39">
        <v>43149</v>
      </c>
      <c r="H636" s="22"/>
      <c r="I636" s="11"/>
      <c r="J636" s="11"/>
      <c r="K636" s="11"/>
      <c r="L636" s="11"/>
      <c r="P636" s="14"/>
    </row>
    <row r="637" spans="1:17" ht="14.4">
      <c r="A637" s="10" t="s">
        <v>1003</v>
      </c>
      <c r="B637" s="21" t="s">
        <v>1004</v>
      </c>
      <c r="C637" s="14" t="s">
        <v>1005</v>
      </c>
      <c r="H637" s="30" t="s">
        <v>73</v>
      </c>
      <c r="I637" s="10" t="s">
        <v>215</v>
      </c>
      <c r="J637" s="10"/>
      <c r="K637" s="10" t="s">
        <v>74</v>
      </c>
      <c r="L637" s="10"/>
      <c r="P637" s="14"/>
    </row>
    <row r="638" spans="1:17" ht="14.4">
      <c r="A638" s="9" t="s">
        <v>1006</v>
      </c>
      <c r="B638" s="7"/>
      <c r="C638" s="6" t="s">
        <v>1007</v>
      </c>
      <c r="H638" s="9" t="s">
        <v>159</v>
      </c>
      <c r="I638" s="11"/>
      <c r="J638" s="11"/>
      <c r="K638" s="11"/>
      <c r="L638" s="11"/>
    </row>
    <row r="639" spans="1:17" ht="14.4">
      <c r="A639" s="14" t="s">
        <v>1008</v>
      </c>
      <c r="B639" s="14" t="s">
        <v>1009</v>
      </c>
      <c r="C639" s="14" t="s">
        <v>1010</v>
      </c>
      <c r="D639" s="15">
        <v>41030</v>
      </c>
      <c r="E639" s="14"/>
      <c r="F639" s="14"/>
      <c r="G639" s="14"/>
      <c r="H639" s="10"/>
      <c r="I639" s="10"/>
      <c r="J639" s="10"/>
      <c r="K639" s="10"/>
      <c r="L639" s="10"/>
      <c r="M639" s="14"/>
      <c r="N639" s="14"/>
      <c r="O639" s="14"/>
      <c r="P639" s="14"/>
    </row>
    <row r="640" spans="1:17" ht="14.4">
      <c r="A640" s="6" t="s">
        <v>1011</v>
      </c>
      <c r="B640" s="7"/>
      <c r="C640" s="6"/>
      <c r="H640" s="42">
        <v>45954</v>
      </c>
      <c r="I640" s="11"/>
      <c r="J640" s="11"/>
      <c r="K640" s="11"/>
      <c r="L640" s="11"/>
    </row>
    <row r="641" spans="1:16" ht="14.4">
      <c r="A641" s="6" t="s">
        <v>1011</v>
      </c>
      <c r="B641" s="7"/>
      <c r="C641" s="6"/>
      <c r="H641" s="9"/>
      <c r="I641" s="41">
        <v>45985</v>
      </c>
      <c r="J641" s="11"/>
      <c r="K641" s="11"/>
      <c r="L641" s="11"/>
    </row>
    <row r="642" spans="1:16" ht="14.4">
      <c r="A642" s="14" t="s">
        <v>1012</v>
      </c>
      <c r="B642" s="14" t="s">
        <v>1013</v>
      </c>
      <c r="C642" s="14" t="s">
        <v>1014</v>
      </c>
      <c r="D642" s="15">
        <v>41061</v>
      </c>
      <c r="E642" s="14"/>
      <c r="F642" s="14"/>
      <c r="G642" s="14"/>
      <c r="H642" s="10"/>
      <c r="I642" s="10"/>
      <c r="J642" s="10"/>
      <c r="K642" s="10"/>
      <c r="L642" s="10"/>
      <c r="M642" s="14"/>
      <c r="N642" s="14"/>
      <c r="O642" s="14"/>
      <c r="P642" s="14"/>
    </row>
    <row r="643" spans="1:16" ht="15.3">
      <c r="A643" s="6" t="s">
        <v>1015</v>
      </c>
      <c r="B643" s="93" t="s">
        <v>1016</v>
      </c>
      <c r="C643" s="80" t="s">
        <v>1017</v>
      </c>
      <c r="H643" s="22"/>
      <c r="I643" s="11"/>
      <c r="J643" s="10"/>
      <c r="K643" s="10" t="s">
        <v>39</v>
      </c>
      <c r="L643" s="10"/>
      <c r="P643" s="14"/>
    </row>
    <row r="644" spans="1:16" ht="14.4">
      <c r="A644" s="6" t="s">
        <v>1018</v>
      </c>
      <c r="B644" s="7"/>
      <c r="C644" s="6" t="s">
        <v>1019</v>
      </c>
      <c r="H644" s="9" t="s">
        <v>159</v>
      </c>
      <c r="I644" s="9" t="s">
        <v>75</v>
      </c>
      <c r="J644" s="11"/>
      <c r="K644" s="11"/>
      <c r="L644" s="11"/>
    </row>
    <row r="645" spans="1:16" ht="14.4">
      <c r="A645" s="14" t="s">
        <v>1020</v>
      </c>
      <c r="B645" s="14"/>
      <c r="C645" s="19" t="str">
        <f>HYPERLINK("mailto:gustavo_tenaglia@hotmail.com","gustavo_tenaglia@hotmail.com")</f>
        <v>gustavo_tenaglia@hotmail.com</v>
      </c>
      <c r="D645" s="14"/>
      <c r="E645" s="15">
        <v>41640</v>
      </c>
      <c r="F645" s="14"/>
      <c r="G645" s="14"/>
      <c r="H645" s="10"/>
      <c r="I645" s="10"/>
      <c r="J645" s="10"/>
      <c r="K645" s="10"/>
      <c r="L645" s="10"/>
      <c r="M645" s="14"/>
      <c r="N645" s="14"/>
      <c r="O645" s="14"/>
      <c r="P645" s="14"/>
    </row>
    <row r="646" spans="1:16" ht="14.4">
      <c r="A646" s="6" t="s">
        <v>1021</v>
      </c>
      <c r="B646" s="8">
        <v>2974139702</v>
      </c>
      <c r="C646" s="6" t="s">
        <v>1022</v>
      </c>
      <c r="H646" s="69" t="s">
        <v>269</v>
      </c>
      <c r="I646" s="11"/>
      <c r="J646" s="11"/>
      <c r="K646" s="11"/>
      <c r="L646" s="11"/>
    </row>
    <row r="647" spans="1:16" ht="14.4">
      <c r="A647" s="14" t="s">
        <v>1023</v>
      </c>
      <c r="B647" s="47" t="s">
        <v>1024</v>
      </c>
      <c r="C647" s="19" t="str">
        <f>HYPERLINK("mailto:hector.o.valdez@gmail.com","hector.o.valdez@gmail.com")</f>
        <v>hector.o.valdez@gmail.com</v>
      </c>
      <c r="D647" s="14"/>
      <c r="E647" s="15">
        <v>41275</v>
      </c>
      <c r="F647" s="15">
        <v>41760</v>
      </c>
      <c r="G647" s="15">
        <v>42064</v>
      </c>
      <c r="H647" s="20">
        <v>41944</v>
      </c>
      <c r="I647" s="10"/>
      <c r="J647" s="10"/>
      <c r="K647" s="10"/>
      <c r="L647" s="10"/>
      <c r="M647" s="15">
        <v>42064</v>
      </c>
      <c r="N647" s="14">
        <v>2015</v>
      </c>
      <c r="O647" s="14"/>
      <c r="P647" s="14"/>
    </row>
    <row r="648" spans="1:16" ht="14.4">
      <c r="A648" s="14" t="s">
        <v>1025</v>
      </c>
      <c r="B648" s="14" t="s">
        <v>1026</v>
      </c>
      <c r="C648" s="47" t="s">
        <v>1027</v>
      </c>
      <c r="D648" s="14"/>
      <c r="E648" s="14"/>
      <c r="F648" s="15">
        <v>41487</v>
      </c>
      <c r="G648" s="14"/>
      <c r="H648" s="20">
        <v>41365</v>
      </c>
      <c r="I648" s="10"/>
      <c r="J648" s="10"/>
      <c r="K648" s="10"/>
      <c r="L648" s="10"/>
      <c r="M648" s="14"/>
      <c r="N648" s="14"/>
      <c r="O648" s="14"/>
      <c r="P648" s="14"/>
    </row>
    <row r="649" spans="1:16" ht="14.4">
      <c r="A649" s="9" t="s">
        <v>1028</v>
      </c>
      <c r="B649" s="7"/>
      <c r="C649" s="7"/>
      <c r="H649" s="9" t="s">
        <v>82</v>
      </c>
      <c r="I649" s="11"/>
      <c r="J649" s="11"/>
      <c r="K649" s="11"/>
      <c r="L649" s="11"/>
    </row>
    <row r="650" spans="1:16" ht="14.4">
      <c r="A650" s="14" t="s">
        <v>1029</v>
      </c>
      <c r="B650" s="13">
        <v>1167530096</v>
      </c>
      <c r="C650" s="14" t="s">
        <v>1030</v>
      </c>
      <c r="D650" s="21" t="s">
        <v>256</v>
      </c>
      <c r="E650" s="14"/>
      <c r="F650" s="14"/>
      <c r="G650" s="14"/>
      <c r="H650" s="10"/>
      <c r="I650" s="10"/>
      <c r="J650" s="10"/>
      <c r="K650" s="10"/>
      <c r="L650" s="10"/>
      <c r="M650" s="14"/>
      <c r="N650" s="14"/>
      <c r="O650" s="14"/>
      <c r="P650" s="14"/>
    </row>
    <row r="651" spans="1:16" ht="14.4">
      <c r="A651" s="14" t="s">
        <v>1031</v>
      </c>
      <c r="B651" s="14" t="s">
        <v>1032</v>
      </c>
      <c r="C651" s="19" t="str">
        <f>HYPERLINK("mailto:basso.hernan@gmail.com","basso.hernan@gmail.com")</f>
        <v>basso.hernan@gmail.com</v>
      </c>
      <c r="D651" s="15">
        <v>41122</v>
      </c>
      <c r="E651" s="14"/>
      <c r="F651" s="14"/>
      <c r="G651" s="14"/>
      <c r="H651" s="10"/>
      <c r="I651" s="10"/>
      <c r="J651" s="10"/>
      <c r="K651" s="10"/>
      <c r="L651" s="10"/>
      <c r="M651" s="14"/>
      <c r="N651" s="14"/>
      <c r="O651" s="14"/>
      <c r="P651" s="14"/>
    </row>
    <row r="652" spans="1:16" ht="14.4">
      <c r="A652" s="6" t="s">
        <v>1033</v>
      </c>
      <c r="B652" s="7"/>
      <c r="C652" s="7"/>
      <c r="H652" s="9" t="s">
        <v>75</v>
      </c>
      <c r="I652" s="11"/>
      <c r="J652" s="11"/>
      <c r="K652" s="11"/>
      <c r="L652" s="11"/>
    </row>
    <row r="653" spans="1:16" ht="14.4">
      <c r="A653" s="6" t="s">
        <v>1033</v>
      </c>
      <c r="B653" s="7"/>
      <c r="C653" s="7"/>
      <c r="H653" s="9"/>
      <c r="I653" s="11"/>
      <c r="J653" s="11"/>
      <c r="K653" s="11"/>
      <c r="L653" s="11"/>
      <c r="P653" s="6" t="s">
        <v>68</v>
      </c>
    </row>
    <row r="654" spans="1:16" ht="14.4">
      <c r="A654" s="9" t="s">
        <v>1033</v>
      </c>
      <c r="B654" s="7"/>
      <c r="C654" s="7"/>
      <c r="H654" s="9"/>
      <c r="I654" s="11"/>
      <c r="J654" s="10" t="s">
        <v>19</v>
      </c>
      <c r="K654" s="11"/>
      <c r="L654" s="11"/>
    </row>
    <row r="655" spans="1:16" ht="14.4">
      <c r="A655" s="9" t="s">
        <v>1033</v>
      </c>
      <c r="B655" s="7"/>
      <c r="C655" s="7"/>
      <c r="H655" s="9"/>
      <c r="I655" s="11"/>
      <c r="J655" s="11"/>
      <c r="K655" s="17" t="s">
        <v>20</v>
      </c>
      <c r="L655" s="11"/>
    </row>
    <row r="656" spans="1:16" ht="14.4">
      <c r="A656" s="6" t="s">
        <v>1034</v>
      </c>
      <c r="B656" s="7"/>
      <c r="C656" s="7"/>
      <c r="H656" s="9" t="s">
        <v>159</v>
      </c>
      <c r="I656" s="11"/>
      <c r="J656" s="11"/>
      <c r="K656" s="11"/>
      <c r="L656" s="11"/>
    </row>
    <row r="657" spans="1:16" ht="14.4">
      <c r="A657" s="14" t="s">
        <v>1035</v>
      </c>
      <c r="B657" s="14"/>
      <c r="C657" s="19" t="str">
        <f>HYPERLINK("mailto:hiacona@gmail.com","hiacona@gmail.com")</f>
        <v>hiacona@gmail.com</v>
      </c>
      <c r="D657" s="14"/>
      <c r="E657" s="15">
        <v>41518</v>
      </c>
      <c r="F657" s="14"/>
      <c r="G657" s="14"/>
      <c r="H657" s="10"/>
      <c r="I657" s="10"/>
      <c r="J657" s="10"/>
      <c r="K657" s="10"/>
      <c r="L657" s="10"/>
      <c r="M657" s="14"/>
      <c r="N657" s="14"/>
      <c r="O657" s="14"/>
      <c r="P657" s="14"/>
    </row>
    <row r="658" spans="1:16" ht="14.4">
      <c r="A658" s="13" t="s">
        <v>1036</v>
      </c>
      <c r="B658" s="13">
        <v>1568746178</v>
      </c>
      <c r="C658" s="46" t="str">
        <f>HYPERLINK("mailto:hwilberg@gmail.com","hwilberg@gmail.com")</f>
        <v>hwilberg@gmail.com</v>
      </c>
      <c r="D658" s="15">
        <v>41944</v>
      </c>
      <c r="E658" s="14"/>
      <c r="F658" s="14"/>
      <c r="G658" s="14"/>
      <c r="H658" s="10"/>
      <c r="I658" s="10"/>
      <c r="J658" s="10"/>
      <c r="K658" s="10"/>
      <c r="L658" s="10"/>
      <c r="M658" s="14"/>
      <c r="N658" s="14"/>
      <c r="O658" s="14"/>
      <c r="P658" s="14"/>
    </row>
    <row r="659" spans="1:16" ht="14.4">
      <c r="A659" s="6" t="s">
        <v>1037</v>
      </c>
      <c r="B659" s="13"/>
      <c r="C659" s="14" t="s">
        <v>1038</v>
      </c>
      <c r="D659" s="14"/>
      <c r="E659" s="14"/>
      <c r="F659" s="14"/>
      <c r="G659" s="6"/>
      <c r="H659" s="9" t="s">
        <v>54</v>
      </c>
      <c r="I659" s="23" t="s">
        <v>55</v>
      </c>
      <c r="J659" s="10"/>
      <c r="K659" s="10"/>
      <c r="L659" s="10"/>
      <c r="P659" s="14"/>
    </row>
    <row r="660" spans="1:16" ht="14.4">
      <c r="A660" s="6" t="s">
        <v>1039</v>
      </c>
      <c r="B660" s="7"/>
      <c r="C660" s="6"/>
      <c r="H660" s="9" t="s">
        <v>123</v>
      </c>
      <c r="I660" s="9" t="s">
        <v>123</v>
      </c>
      <c r="J660" s="11"/>
      <c r="K660" s="11"/>
      <c r="L660" s="11"/>
    </row>
    <row r="661" spans="1:16" ht="14.4">
      <c r="A661" s="6" t="s">
        <v>1040</v>
      </c>
      <c r="B661" s="8">
        <v>93416128917</v>
      </c>
      <c r="C661" s="6" t="s">
        <v>1041</v>
      </c>
      <c r="H661" s="43" t="s">
        <v>143</v>
      </c>
      <c r="I661" s="11"/>
      <c r="J661" s="11"/>
      <c r="K661" s="11"/>
      <c r="L661" s="11"/>
    </row>
    <row r="662" spans="1:16" ht="14.4">
      <c r="A662" s="6" t="s">
        <v>1040</v>
      </c>
      <c r="B662" s="7"/>
      <c r="C662" s="7"/>
      <c r="H662" s="9" t="s">
        <v>82</v>
      </c>
      <c r="I662" s="11"/>
      <c r="J662" s="11"/>
      <c r="K662" s="11"/>
      <c r="L662" s="11"/>
    </row>
    <row r="663" spans="1:16" ht="14.4">
      <c r="A663" s="6" t="s">
        <v>1042</v>
      </c>
      <c r="B663" s="7"/>
      <c r="C663" s="6"/>
      <c r="H663" s="9" t="s">
        <v>50</v>
      </c>
      <c r="I663" s="11"/>
      <c r="J663" s="11"/>
      <c r="K663" s="11"/>
      <c r="L663" s="11"/>
    </row>
    <row r="664" spans="1:16" ht="14.4">
      <c r="A664" s="6" t="s">
        <v>1042</v>
      </c>
      <c r="B664" s="7"/>
      <c r="C664" s="6"/>
      <c r="H664" s="9"/>
      <c r="I664" s="10" t="s">
        <v>51</v>
      </c>
      <c r="J664" s="11"/>
      <c r="K664" s="11"/>
      <c r="L664" s="11"/>
    </row>
    <row r="665" spans="1:16" ht="14.4">
      <c r="A665" s="6" t="s">
        <v>1042</v>
      </c>
      <c r="B665" s="7"/>
      <c r="C665" s="6"/>
      <c r="H665" s="9"/>
      <c r="I665" s="11"/>
      <c r="J665" s="41">
        <v>45954</v>
      </c>
      <c r="K665" s="11"/>
      <c r="L665" s="11"/>
    </row>
    <row r="666" spans="1:16" ht="14.4">
      <c r="A666" s="14" t="s">
        <v>1043</v>
      </c>
      <c r="B666" s="14" t="s">
        <v>1044</v>
      </c>
      <c r="C666" s="14" t="s">
        <v>1045</v>
      </c>
      <c r="D666" s="15">
        <v>41030</v>
      </c>
      <c r="E666" s="14"/>
      <c r="F666" s="14"/>
      <c r="G666" s="14"/>
      <c r="H666" s="10"/>
      <c r="I666" s="10"/>
      <c r="J666" s="10"/>
      <c r="K666" s="10"/>
      <c r="L666" s="10"/>
      <c r="M666" s="14"/>
      <c r="N666" s="14"/>
      <c r="O666" s="14"/>
      <c r="P666" s="14"/>
    </row>
    <row r="667" spans="1:16" ht="14.4">
      <c r="A667" s="13" t="s">
        <v>1046</v>
      </c>
      <c r="B667" s="17" t="s">
        <v>1047</v>
      </c>
      <c r="C667" s="13" t="s">
        <v>1048</v>
      </c>
      <c r="D667" s="14"/>
      <c r="E667" s="15">
        <v>42248</v>
      </c>
      <c r="F667" s="14"/>
      <c r="G667" s="14"/>
      <c r="H667" s="10"/>
      <c r="I667" s="10"/>
      <c r="J667" s="10"/>
      <c r="K667" s="10"/>
      <c r="L667" s="10"/>
      <c r="M667" s="14"/>
      <c r="N667" s="14"/>
      <c r="O667" s="14"/>
      <c r="P667" s="14"/>
    </row>
    <row r="668" spans="1:16" ht="14.4">
      <c r="A668" s="13" t="s">
        <v>1049</v>
      </c>
      <c r="B668" s="13" t="s">
        <v>1050</v>
      </c>
      <c r="C668" s="46" t="str">
        <f>HYPERLINK("mailto:ineinchauspe@yahoo.com","ineinchauspe@yahoo.com")</f>
        <v>ineinchauspe@yahoo.com</v>
      </c>
      <c r="D668" s="15">
        <v>40817</v>
      </c>
      <c r="E668" s="14"/>
      <c r="F668" s="14"/>
      <c r="G668" s="14"/>
      <c r="H668" s="10"/>
      <c r="I668" s="10"/>
      <c r="J668" s="10"/>
      <c r="K668" s="10"/>
      <c r="L668" s="10"/>
      <c r="M668" s="14"/>
      <c r="N668" s="14"/>
      <c r="O668" s="14"/>
      <c r="P668" s="14"/>
    </row>
    <row r="669" spans="1:16" ht="14.4">
      <c r="A669" s="14" t="s">
        <v>1051</v>
      </c>
      <c r="B669" s="14"/>
      <c r="C669" s="19" t="str">
        <f>HYPERLINK("mailto:indartmi@gmail.com","indartmi@gmail.com")</f>
        <v>indartmi@gmail.com</v>
      </c>
      <c r="D669" s="14"/>
      <c r="E669" s="14"/>
      <c r="F669" s="14"/>
      <c r="G669" s="14"/>
      <c r="H669" s="10"/>
      <c r="I669" s="10"/>
      <c r="J669" s="10"/>
      <c r="K669" s="10"/>
      <c r="L669" s="10"/>
      <c r="M669" s="14"/>
      <c r="N669" s="14"/>
      <c r="O669" s="14"/>
      <c r="P669" s="14"/>
    </row>
    <row r="670" spans="1:16" ht="14.4">
      <c r="A670" s="9" t="s">
        <v>1052</v>
      </c>
      <c r="B670" s="30">
        <v>2214944965</v>
      </c>
      <c r="C670" s="9" t="s">
        <v>1053</v>
      </c>
      <c r="H670" s="53" t="s">
        <v>220</v>
      </c>
      <c r="I670" s="11"/>
      <c r="J670" s="11"/>
      <c r="K670" s="11"/>
      <c r="L670" s="11"/>
    </row>
    <row r="671" spans="1:16" ht="14.4">
      <c r="A671" s="6" t="s">
        <v>1054</v>
      </c>
      <c r="B671" s="7"/>
      <c r="C671" s="6" t="s">
        <v>1055</v>
      </c>
      <c r="H671" s="9"/>
      <c r="I671" s="11"/>
      <c r="J671" s="11"/>
      <c r="K671" s="11" t="s">
        <v>159</v>
      </c>
      <c r="L671" s="11"/>
    </row>
    <row r="672" spans="1:16" ht="14.4">
      <c r="A672" s="6" t="s">
        <v>1056</v>
      </c>
      <c r="B672" s="7"/>
      <c r="C672" s="6" t="s">
        <v>1057</v>
      </c>
      <c r="H672" s="9" t="s">
        <v>159</v>
      </c>
      <c r="I672" s="11"/>
      <c r="J672" s="11"/>
      <c r="K672" s="11"/>
      <c r="L672" s="11"/>
    </row>
    <row r="673" spans="1:16" ht="14.4">
      <c r="A673" s="9" t="s">
        <v>1056</v>
      </c>
      <c r="B673" s="7"/>
      <c r="C673" s="7" t="s">
        <v>1057</v>
      </c>
      <c r="H673" s="9" t="s">
        <v>75</v>
      </c>
      <c r="I673" s="11"/>
      <c r="J673" s="11"/>
      <c r="K673" s="11"/>
      <c r="L673" s="11"/>
    </row>
    <row r="674" spans="1:16" ht="14.4">
      <c r="A674" s="9" t="s">
        <v>1056</v>
      </c>
      <c r="B674" s="7"/>
      <c r="C674" s="6" t="s">
        <v>1057</v>
      </c>
      <c r="H674" s="9"/>
      <c r="I674" s="11"/>
      <c r="J674" s="10" t="s">
        <v>19</v>
      </c>
      <c r="K674" s="11"/>
      <c r="L674" s="11"/>
    </row>
    <row r="675" spans="1:16" ht="14.4">
      <c r="A675" s="14" t="s">
        <v>1058</v>
      </c>
      <c r="B675" s="14" t="s">
        <v>1059</v>
      </c>
      <c r="C675" s="14" t="s">
        <v>1060</v>
      </c>
      <c r="D675" s="14"/>
      <c r="E675" s="15">
        <v>41426</v>
      </c>
      <c r="F675" s="15">
        <v>41426</v>
      </c>
      <c r="G675" s="15">
        <v>41760</v>
      </c>
      <c r="H675" s="10"/>
      <c r="I675" s="10"/>
      <c r="J675" s="10"/>
      <c r="K675" s="10"/>
      <c r="L675" s="10"/>
      <c r="M675" s="14"/>
      <c r="N675" s="14"/>
      <c r="O675" s="14"/>
      <c r="P675" s="14"/>
    </row>
    <row r="676" spans="1:16" ht="14.4">
      <c r="A676" s="6" t="s">
        <v>1061</v>
      </c>
      <c r="B676" s="62"/>
      <c r="C676" s="7" t="s">
        <v>1062</v>
      </c>
      <c r="H676" s="9" t="s">
        <v>260</v>
      </c>
      <c r="I676" s="17" t="s">
        <v>72</v>
      </c>
      <c r="J676" s="11"/>
      <c r="P676" s="14"/>
    </row>
    <row r="677" spans="1:16" ht="14.4">
      <c r="A677" s="14" t="s">
        <v>1063</v>
      </c>
      <c r="B677" s="13">
        <v>1135461811</v>
      </c>
      <c r="C677" s="14" t="s">
        <v>1064</v>
      </c>
      <c r="D677" s="14"/>
      <c r="E677" s="49">
        <v>42903</v>
      </c>
      <c r="F677" s="14"/>
      <c r="G677" s="14"/>
      <c r="H677" s="10"/>
      <c r="I677" s="10"/>
      <c r="J677" s="10"/>
      <c r="K677" s="10"/>
      <c r="L677" s="10"/>
      <c r="M677" s="14"/>
      <c r="N677" s="14"/>
      <c r="O677" s="14"/>
      <c r="P677" s="14"/>
    </row>
    <row r="678" spans="1:16" ht="14.4">
      <c r="A678" s="6" t="s">
        <v>1065</v>
      </c>
      <c r="B678" s="33">
        <v>1151126615</v>
      </c>
      <c r="C678" s="6" t="s">
        <v>1066</v>
      </c>
      <c r="H678" s="53" t="s">
        <v>194</v>
      </c>
      <c r="I678" s="11"/>
      <c r="J678" s="11"/>
      <c r="K678" s="11"/>
      <c r="L678" s="11"/>
    </row>
    <row r="679" spans="1:16" ht="14.4">
      <c r="A679" s="6" t="s">
        <v>1067</v>
      </c>
      <c r="B679" s="7"/>
      <c r="C679" s="6" t="s">
        <v>1068</v>
      </c>
      <c r="H679" s="42">
        <v>45222</v>
      </c>
      <c r="I679" s="11"/>
      <c r="J679" s="11"/>
      <c r="K679" s="11"/>
      <c r="L679" s="11"/>
    </row>
    <row r="680" spans="1:16" ht="14.4">
      <c r="A680" s="6" t="s">
        <v>1067</v>
      </c>
      <c r="B680" s="7"/>
      <c r="C680" s="6" t="s">
        <v>1068</v>
      </c>
      <c r="H680" s="9"/>
      <c r="I680" s="41">
        <v>45253</v>
      </c>
      <c r="J680" s="11"/>
      <c r="K680" s="11"/>
      <c r="L680" s="11"/>
    </row>
    <row r="681" spans="1:16" ht="14.4">
      <c r="A681" s="6" t="s">
        <v>1069</v>
      </c>
      <c r="B681" s="7"/>
      <c r="C681" s="6"/>
      <c r="H681" s="42">
        <v>45954</v>
      </c>
      <c r="I681" s="11"/>
      <c r="J681" s="11"/>
      <c r="K681" s="11"/>
      <c r="L681" s="11"/>
    </row>
    <row r="682" spans="1:16" ht="14.4">
      <c r="A682" s="6" t="s">
        <v>1069</v>
      </c>
      <c r="B682" s="7"/>
      <c r="C682" s="6"/>
      <c r="H682" s="9"/>
      <c r="I682" s="41">
        <v>45985</v>
      </c>
      <c r="J682" s="11"/>
      <c r="K682" s="11"/>
      <c r="L682" s="11"/>
    </row>
    <row r="683" spans="1:16" ht="14.4">
      <c r="A683" s="6" t="s">
        <v>1069</v>
      </c>
      <c r="B683" s="7"/>
      <c r="C683" s="6"/>
      <c r="H683" s="9"/>
      <c r="I683" s="11"/>
      <c r="J683" s="11" t="s">
        <v>82</v>
      </c>
      <c r="K683" s="11"/>
      <c r="L683" s="11"/>
    </row>
    <row r="684" spans="1:16" ht="14.4">
      <c r="A684" s="6" t="s">
        <v>1070</v>
      </c>
      <c r="B684" s="7"/>
      <c r="C684" s="6" t="s">
        <v>1071</v>
      </c>
      <c r="H684" s="42">
        <v>45222</v>
      </c>
      <c r="I684" s="11"/>
      <c r="J684" s="11"/>
      <c r="K684" s="11"/>
      <c r="L684" s="11"/>
    </row>
    <row r="685" spans="1:16" ht="14.4">
      <c r="A685" s="6" t="s">
        <v>1072</v>
      </c>
      <c r="B685" s="8">
        <v>3388672990</v>
      </c>
      <c r="C685" s="6" t="s">
        <v>1073</v>
      </c>
      <c r="H685" s="22"/>
      <c r="I685" s="11"/>
      <c r="J685" s="11"/>
      <c r="K685" s="11" t="s">
        <v>110</v>
      </c>
      <c r="L685" s="11"/>
    </row>
    <row r="686" spans="1:16" ht="14.4">
      <c r="A686" s="6" t="s">
        <v>1072</v>
      </c>
      <c r="B686" s="7"/>
      <c r="C686" s="6" t="s">
        <v>1073</v>
      </c>
      <c r="H686" s="9" t="s">
        <v>159</v>
      </c>
      <c r="I686" s="11"/>
      <c r="J686" s="11"/>
      <c r="K686" s="11"/>
      <c r="L686" s="11"/>
    </row>
    <row r="687" spans="1:16" ht="14.4">
      <c r="A687" s="7" t="s">
        <v>1072</v>
      </c>
      <c r="B687" s="7"/>
      <c r="C687" s="7" t="s">
        <v>1073</v>
      </c>
      <c r="H687" s="9" t="s">
        <v>75</v>
      </c>
      <c r="I687" s="11"/>
      <c r="J687" s="11"/>
      <c r="K687" s="11"/>
      <c r="L687" s="11"/>
    </row>
    <row r="688" spans="1:16" ht="14.4">
      <c r="A688" s="6" t="s">
        <v>1072</v>
      </c>
      <c r="B688" s="8">
        <v>3388672990</v>
      </c>
      <c r="C688" s="6" t="s">
        <v>1073</v>
      </c>
      <c r="H688" s="9"/>
      <c r="I688" s="9" t="s">
        <v>109</v>
      </c>
      <c r="J688" s="11"/>
      <c r="K688" s="11"/>
      <c r="L688" s="11"/>
    </row>
    <row r="689" spans="1:17" ht="14.4">
      <c r="A689" s="6" t="s">
        <v>1072</v>
      </c>
      <c r="B689" s="6"/>
      <c r="C689" s="6" t="s">
        <v>1073</v>
      </c>
      <c r="H689" s="9"/>
      <c r="I689" s="11"/>
      <c r="J689" s="11"/>
      <c r="K689" s="11"/>
      <c r="L689" s="11" t="s">
        <v>75</v>
      </c>
    </row>
    <row r="690" spans="1:17" ht="14.4">
      <c r="A690" s="6" t="s">
        <v>1072</v>
      </c>
      <c r="B690" s="7"/>
      <c r="C690" s="6" t="s">
        <v>1073</v>
      </c>
      <c r="H690" s="9"/>
      <c r="I690" s="11"/>
      <c r="J690" s="11"/>
      <c r="K690" s="11"/>
      <c r="L690" s="11"/>
      <c r="P690" s="26" t="s">
        <v>75</v>
      </c>
    </row>
    <row r="691" spans="1:17" ht="14.4">
      <c r="A691" s="6" t="s">
        <v>1072</v>
      </c>
      <c r="B691" s="7"/>
      <c r="C691" s="7"/>
      <c r="H691" s="9"/>
      <c r="I691" s="11"/>
      <c r="J691" s="10" t="s">
        <v>35</v>
      </c>
      <c r="K691" s="11"/>
      <c r="L691" s="11"/>
    </row>
    <row r="692" spans="1:17" ht="14.4">
      <c r="A692" s="9" t="s">
        <v>1072</v>
      </c>
      <c r="B692" s="7"/>
      <c r="C692" s="6" t="s">
        <v>1073</v>
      </c>
      <c r="H692" s="9"/>
      <c r="I692" s="11"/>
      <c r="J692" s="10" t="s">
        <v>19</v>
      </c>
      <c r="K692" s="11"/>
      <c r="L692" s="11"/>
    </row>
    <row r="693" spans="1:17" ht="14.4">
      <c r="A693" s="53" t="s">
        <v>1074</v>
      </c>
      <c r="B693" s="62" t="s">
        <v>1075</v>
      </c>
      <c r="C693" s="53" t="s">
        <v>1076</v>
      </c>
      <c r="D693" s="21" t="s">
        <v>355</v>
      </c>
      <c r="H693" s="22"/>
      <c r="I693" s="11"/>
      <c r="J693" s="11"/>
      <c r="K693" s="11"/>
      <c r="L693" s="11"/>
      <c r="P693" s="14"/>
    </row>
    <row r="694" spans="1:17" ht="14.4">
      <c r="A694" s="6" t="s">
        <v>1077</v>
      </c>
      <c r="B694" s="7"/>
      <c r="C694" s="6"/>
      <c r="H694" s="42">
        <v>45954</v>
      </c>
      <c r="I694" s="11"/>
      <c r="J694" s="11"/>
      <c r="K694" s="11"/>
      <c r="L694" s="11"/>
    </row>
    <row r="695" spans="1:17" ht="14.4">
      <c r="A695" s="6" t="s">
        <v>1077</v>
      </c>
      <c r="B695" s="7"/>
      <c r="C695" s="6"/>
      <c r="H695" s="9"/>
      <c r="I695" s="41">
        <v>45985</v>
      </c>
      <c r="J695" s="11"/>
      <c r="K695" s="11"/>
      <c r="L695" s="11"/>
    </row>
    <row r="696" spans="1:17" ht="14.4">
      <c r="A696" s="6" t="s">
        <v>1077</v>
      </c>
      <c r="B696" s="7"/>
      <c r="C696" s="6"/>
      <c r="H696" s="9"/>
      <c r="I696" s="11"/>
      <c r="J696" s="11" t="s">
        <v>82</v>
      </c>
      <c r="K696" s="11"/>
      <c r="L696" s="11"/>
    </row>
    <row r="697" spans="1:17" ht="14.4">
      <c r="A697" s="94" t="s">
        <v>1078</v>
      </c>
      <c r="B697" s="62" t="s">
        <v>1079</v>
      </c>
      <c r="C697" s="62" t="s">
        <v>1080</v>
      </c>
      <c r="D697" s="14"/>
      <c r="E697" s="14"/>
      <c r="F697" s="14"/>
      <c r="G697" s="14"/>
      <c r="H697" s="23" t="s">
        <v>132</v>
      </c>
      <c r="I697" s="63"/>
      <c r="J697" s="63"/>
      <c r="K697" s="63"/>
      <c r="L697" s="63"/>
      <c r="P697" s="14"/>
    </row>
    <row r="698" spans="1:17" ht="14.4">
      <c r="A698" s="14" t="s">
        <v>1081</v>
      </c>
      <c r="B698" s="14" t="s">
        <v>1082</v>
      </c>
      <c r="C698" s="19" t="str">
        <f>HYPERLINK("mailto:ivonnfeliz_@hotmail.com","ivonnfeliz_@hotmail.com")</f>
        <v>ivonnfeliz_@hotmail.com</v>
      </c>
      <c r="D698" s="15">
        <v>41061</v>
      </c>
      <c r="E698" s="14"/>
      <c r="F698" s="15">
        <v>41153</v>
      </c>
      <c r="G698" s="14"/>
      <c r="H698" s="10"/>
      <c r="I698" s="10"/>
      <c r="J698" s="10"/>
      <c r="K698" s="10"/>
      <c r="L698" s="10"/>
      <c r="M698" s="14"/>
      <c r="N698" s="14"/>
      <c r="O698" s="14"/>
      <c r="P698" s="14"/>
    </row>
    <row r="699" spans="1:17" ht="14.4">
      <c r="A699" s="6" t="s">
        <v>1083</v>
      </c>
      <c r="B699" s="7"/>
      <c r="C699" s="7"/>
      <c r="H699" s="9"/>
      <c r="I699" s="11"/>
      <c r="J699" s="11"/>
      <c r="K699" s="11"/>
      <c r="L699" s="11"/>
      <c r="Q699" s="16">
        <v>45833</v>
      </c>
    </row>
    <row r="700" spans="1:17" ht="14.4">
      <c r="A700" s="18" t="s">
        <v>1084</v>
      </c>
      <c r="B700" s="7"/>
      <c r="C700" s="89" t="s">
        <v>1085</v>
      </c>
      <c r="H700" s="53" t="s">
        <v>730</v>
      </c>
      <c r="I700" s="10" t="s">
        <v>948</v>
      </c>
      <c r="J700" s="10" t="s">
        <v>220</v>
      </c>
      <c r="K700" s="11"/>
      <c r="L700" s="11"/>
    </row>
    <row r="701" spans="1:17" ht="14.4">
      <c r="A701" s="13" t="s">
        <v>1086</v>
      </c>
      <c r="B701" s="13" t="s">
        <v>1087</v>
      </c>
      <c r="C701" s="46" t="str">
        <f>HYPERLINK("mailto:decolabanjaime@fibertel.com.ar","decolabanjaime@fibertel.com.ar")</f>
        <v>decolabanjaime@fibertel.com.ar</v>
      </c>
      <c r="D701" s="15">
        <v>40817</v>
      </c>
      <c r="E701" s="14"/>
      <c r="F701" s="14"/>
      <c r="G701" s="14"/>
      <c r="H701" s="10"/>
      <c r="I701" s="10"/>
      <c r="J701" s="10"/>
      <c r="K701" s="10"/>
      <c r="L701" s="10"/>
      <c r="M701" s="14"/>
      <c r="N701" s="14"/>
      <c r="O701" s="14"/>
    </row>
    <row r="702" spans="1:17" ht="14.4">
      <c r="A702" s="13" t="s">
        <v>1088</v>
      </c>
      <c r="B702" s="13" t="s">
        <v>1089</v>
      </c>
      <c r="C702" s="13" t="s">
        <v>1090</v>
      </c>
      <c r="D702" s="14"/>
      <c r="E702" s="15">
        <v>42005</v>
      </c>
      <c r="F702" s="14"/>
      <c r="G702" s="14"/>
      <c r="H702" s="10"/>
      <c r="I702" s="10"/>
      <c r="J702" s="10"/>
      <c r="K702" s="10"/>
      <c r="L702" s="10"/>
      <c r="M702" s="14"/>
      <c r="N702" s="14"/>
      <c r="O702" s="14"/>
      <c r="P702" s="14"/>
    </row>
    <row r="703" spans="1:17" ht="14.4">
      <c r="A703" s="13" t="s">
        <v>1091</v>
      </c>
      <c r="B703" s="13" t="s">
        <v>1092</v>
      </c>
      <c r="C703" s="13" t="s">
        <v>1093</v>
      </c>
      <c r="D703" s="15">
        <v>41852</v>
      </c>
      <c r="E703" s="14"/>
      <c r="F703" s="14"/>
      <c r="G703" s="14"/>
      <c r="H703" s="10"/>
      <c r="I703" s="10"/>
      <c r="J703" s="10"/>
      <c r="K703" s="10"/>
      <c r="L703" s="10"/>
      <c r="M703" s="14"/>
      <c r="N703" s="14"/>
      <c r="O703" s="14"/>
    </row>
    <row r="704" spans="1:17" ht="14.4">
      <c r="A704" s="14" t="s">
        <v>1094</v>
      </c>
      <c r="B704" s="14"/>
      <c r="C704" s="14" t="s">
        <v>1095</v>
      </c>
      <c r="D704" s="14"/>
      <c r="E704" s="14"/>
      <c r="F704" s="14"/>
      <c r="G704" s="14"/>
      <c r="H704" s="20">
        <v>41791</v>
      </c>
      <c r="I704" s="10"/>
      <c r="J704" s="10"/>
      <c r="K704" s="10"/>
      <c r="L704" s="10"/>
      <c r="M704" s="14"/>
      <c r="N704" s="14"/>
      <c r="O704" s="14"/>
    </row>
    <row r="705" spans="1:16" ht="14.4">
      <c r="A705" s="14" t="s">
        <v>1096</v>
      </c>
      <c r="B705" s="17">
        <v>1122658098</v>
      </c>
      <c r="C705" s="10" t="s">
        <v>1097</v>
      </c>
      <c r="D705" s="14"/>
      <c r="E705" s="14"/>
      <c r="F705" s="14"/>
      <c r="G705" s="6"/>
      <c r="H705" s="30" t="s">
        <v>71</v>
      </c>
      <c r="I705" s="17" t="s">
        <v>72</v>
      </c>
      <c r="J705" s="11"/>
      <c r="K705" s="11"/>
      <c r="L705" s="11"/>
      <c r="P705" s="14"/>
    </row>
    <row r="706" spans="1:16" ht="14.4">
      <c r="A706" s="6" t="s">
        <v>1096</v>
      </c>
      <c r="B706" s="7"/>
      <c r="C706" s="6"/>
      <c r="H706" s="9"/>
      <c r="I706" s="11"/>
      <c r="J706" s="11"/>
      <c r="K706" s="10" t="s">
        <v>49</v>
      </c>
      <c r="L706" s="11"/>
    </row>
    <row r="707" spans="1:16" ht="14.4">
      <c r="A707" s="14" t="s">
        <v>1098</v>
      </c>
      <c r="B707" s="13">
        <v>1560518181</v>
      </c>
      <c r="C707" s="64" t="s">
        <v>1099</v>
      </c>
      <c r="D707" s="14"/>
      <c r="E707" s="14"/>
      <c r="F707" s="14"/>
      <c r="G707" s="14"/>
      <c r="H707" s="10"/>
      <c r="I707" s="10"/>
      <c r="J707" s="10"/>
      <c r="K707" s="10"/>
      <c r="L707" s="10"/>
      <c r="M707" s="14"/>
      <c r="N707" s="14"/>
      <c r="O707" s="14"/>
      <c r="P707" s="14"/>
    </row>
    <row r="708" spans="1:16" ht="14.4">
      <c r="A708" s="6" t="s">
        <v>1100</v>
      </c>
      <c r="B708" s="7"/>
      <c r="C708" s="6" t="s">
        <v>1101</v>
      </c>
      <c r="H708" s="17" t="s">
        <v>19</v>
      </c>
      <c r="I708" s="11"/>
      <c r="J708" s="11"/>
      <c r="K708" s="11"/>
      <c r="L708" s="11"/>
    </row>
    <row r="709" spans="1:16" ht="14.4">
      <c r="A709" s="6" t="s">
        <v>1100</v>
      </c>
      <c r="B709" s="7"/>
      <c r="C709" s="6" t="s">
        <v>1101</v>
      </c>
      <c r="H709" s="9"/>
      <c r="I709" s="10" t="s">
        <v>20</v>
      </c>
      <c r="J709" s="11"/>
      <c r="K709" s="11"/>
      <c r="L709" s="11"/>
    </row>
    <row r="710" spans="1:16" ht="14.4">
      <c r="A710" s="6" t="s">
        <v>1100</v>
      </c>
      <c r="B710" s="7"/>
      <c r="C710" s="6" t="s">
        <v>1101</v>
      </c>
      <c r="H710" s="9"/>
      <c r="I710" s="11"/>
      <c r="J710" s="10" t="s">
        <v>35</v>
      </c>
      <c r="K710" s="11"/>
      <c r="L710" s="11"/>
    </row>
    <row r="711" spans="1:16" ht="14.4">
      <c r="A711" s="6" t="s">
        <v>1102</v>
      </c>
      <c r="B711" s="8">
        <v>93435235844</v>
      </c>
      <c r="C711" s="6" t="s">
        <v>1103</v>
      </c>
      <c r="H711" s="9" t="s">
        <v>123</v>
      </c>
      <c r="I711" s="11"/>
      <c r="J711" s="11"/>
      <c r="K711" s="11"/>
      <c r="L711" s="11"/>
    </row>
    <row r="712" spans="1:16" ht="14.4">
      <c r="A712" s="14" t="s">
        <v>1104</v>
      </c>
      <c r="B712" s="14" t="s">
        <v>1105</v>
      </c>
      <c r="C712" s="19" t="str">
        <f>HYPERLINK("mailto:jessica.diana1979@hotmail.com","jessica.diana1979@hotmail.com")</f>
        <v>jessica.diana1979@hotmail.com</v>
      </c>
      <c r="D712" s="15">
        <v>40664</v>
      </c>
      <c r="E712" s="14"/>
      <c r="F712" s="14"/>
      <c r="G712" s="14"/>
      <c r="H712" s="10"/>
      <c r="I712" s="10"/>
      <c r="J712" s="10"/>
      <c r="K712" s="10"/>
      <c r="L712" s="10"/>
      <c r="M712" s="14"/>
      <c r="N712" s="14"/>
      <c r="O712" s="14"/>
      <c r="P712" s="14"/>
    </row>
    <row r="713" spans="1:16" ht="14.4">
      <c r="A713" s="14" t="s">
        <v>1106</v>
      </c>
      <c r="B713" s="14" t="s">
        <v>1107</v>
      </c>
      <c r="C713" s="19" t="str">
        <f>HYPERLINK("mailto:fcjesus@hotmail.com","fcjesus@hotmail.com")</f>
        <v>fcjesus@hotmail.com</v>
      </c>
      <c r="D713" s="15">
        <v>41579</v>
      </c>
      <c r="E713" s="14"/>
      <c r="F713" s="15">
        <v>41760</v>
      </c>
      <c r="G713" s="14"/>
      <c r="H713" s="10"/>
      <c r="I713" s="10"/>
      <c r="J713" s="10"/>
      <c r="K713" s="10"/>
      <c r="L713" s="10"/>
      <c r="M713" s="14"/>
      <c r="N713" s="14"/>
      <c r="O713" s="14"/>
      <c r="P713" s="14"/>
    </row>
    <row r="714" spans="1:16" ht="14.4">
      <c r="A714" s="7" t="s">
        <v>1108</v>
      </c>
      <c r="B714" s="7"/>
      <c r="C714" s="7" t="s">
        <v>1109</v>
      </c>
      <c r="H714" s="17" t="s">
        <v>20</v>
      </c>
      <c r="I714" s="11"/>
      <c r="J714" s="11"/>
      <c r="K714" s="11"/>
      <c r="L714" s="11"/>
    </row>
    <row r="715" spans="1:16" ht="14.4">
      <c r="A715" s="6" t="s">
        <v>1108</v>
      </c>
      <c r="B715" s="7"/>
      <c r="C715" s="6"/>
      <c r="H715" s="9"/>
      <c r="I715" s="11"/>
      <c r="J715" s="11"/>
      <c r="K715" s="11"/>
      <c r="L715" s="10" t="s">
        <v>124</v>
      </c>
    </row>
    <row r="716" spans="1:16" ht="14.4">
      <c r="A716" s="14" t="s">
        <v>1110</v>
      </c>
      <c r="B716" s="14" t="s">
        <v>1111</v>
      </c>
      <c r="C716" s="19" t="str">
        <f>HYPERLINK("mailto:jime_1@hotmail.com","jime_1@hotmail.com")</f>
        <v>jime_1@hotmail.com</v>
      </c>
      <c r="D716" s="15">
        <v>40664</v>
      </c>
      <c r="E716" s="14"/>
      <c r="F716" s="15">
        <v>40787</v>
      </c>
      <c r="G716" s="14"/>
      <c r="H716" s="10"/>
      <c r="I716" s="10"/>
      <c r="J716" s="10"/>
      <c r="K716" s="10"/>
      <c r="L716" s="10"/>
      <c r="M716" s="14"/>
      <c r="N716" s="14"/>
      <c r="O716" s="14"/>
      <c r="P716" s="14"/>
    </row>
    <row r="717" spans="1:16" ht="14.4">
      <c r="A717" s="6" t="s">
        <v>1112</v>
      </c>
      <c r="B717" s="32"/>
      <c r="C717" s="6" t="s">
        <v>1113</v>
      </c>
      <c r="H717" s="53" t="s">
        <v>194</v>
      </c>
      <c r="I717" s="11"/>
      <c r="J717" s="11"/>
      <c r="K717" s="11"/>
      <c r="L717" s="11"/>
    </row>
    <row r="718" spans="1:16" ht="14.4">
      <c r="A718" s="6" t="s">
        <v>1114</v>
      </c>
      <c r="B718" s="7"/>
      <c r="C718" s="6" t="s">
        <v>1115</v>
      </c>
      <c r="H718" s="9" t="s">
        <v>159</v>
      </c>
      <c r="I718" s="11"/>
      <c r="J718" s="11"/>
      <c r="K718" s="11"/>
      <c r="L718" s="11"/>
    </row>
    <row r="719" spans="1:16" ht="14.4">
      <c r="A719" s="7" t="s">
        <v>1114</v>
      </c>
      <c r="B719" s="7"/>
      <c r="C719" s="7" t="s">
        <v>1115</v>
      </c>
      <c r="H719" s="9" t="s">
        <v>75</v>
      </c>
      <c r="I719" s="11"/>
      <c r="J719" s="11"/>
      <c r="K719" s="11"/>
      <c r="L719" s="11"/>
    </row>
    <row r="720" spans="1:16" ht="14.4">
      <c r="A720" s="6" t="s">
        <v>1114</v>
      </c>
      <c r="B720" s="7"/>
      <c r="C720" s="7"/>
      <c r="H720" s="9"/>
      <c r="I720" s="11"/>
      <c r="J720" s="11"/>
      <c r="K720" s="11"/>
      <c r="L720" s="11"/>
      <c r="P720" s="6" t="s">
        <v>68</v>
      </c>
    </row>
    <row r="721" spans="1:17" ht="14.4">
      <c r="A721" s="9" t="s">
        <v>1114</v>
      </c>
      <c r="B721" s="7"/>
      <c r="C721" s="6" t="s">
        <v>1115</v>
      </c>
      <c r="H721" s="9"/>
      <c r="I721" s="11"/>
      <c r="J721" s="10" t="s">
        <v>19</v>
      </c>
      <c r="K721" s="11"/>
      <c r="L721" s="11"/>
    </row>
    <row r="722" spans="1:17" ht="14.4">
      <c r="A722" s="6" t="s">
        <v>1114</v>
      </c>
      <c r="B722" s="7"/>
      <c r="C722" s="7"/>
      <c r="H722" s="9"/>
      <c r="I722" s="11"/>
      <c r="J722" s="11"/>
      <c r="K722" s="11"/>
      <c r="L722" s="10" t="s">
        <v>35</v>
      </c>
    </row>
    <row r="723" spans="1:17" ht="14.4">
      <c r="A723" s="6" t="s">
        <v>1116</v>
      </c>
      <c r="B723" s="8">
        <v>92236918690</v>
      </c>
      <c r="C723" s="6" t="s">
        <v>1117</v>
      </c>
      <c r="H723" s="69" t="s">
        <v>269</v>
      </c>
      <c r="I723" s="11"/>
      <c r="J723" s="11"/>
      <c r="K723" s="11"/>
      <c r="L723" s="11"/>
    </row>
    <row r="724" spans="1:17" ht="14.4">
      <c r="A724" s="6" t="s">
        <v>1118</v>
      </c>
      <c r="B724" s="33">
        <v>92216015898</v>
      </c>
      <c r="C724" s="6" t="s">
        <v>1119</v>
      </c>
      <c r="H724" s="43" t="s">
        <v>143</v>
      </c>
      <c r="I724" s="10" t="s">
        <v>268</v>
      </c>
      <c r="J724" s="17" t="s">
        <v>269</v>
      </c>
      <c r="K724" s="11"/>
      <c r="L724" s="11"/>
    </row>
    <row r="725" spans="1:17" ht="14.4">
      <c r="A725" s="6" t="s">
        <v>1120</v>
      </c>
      <c r="B725" s="7"/>
      <c r="C725" s="7"/>
      <c r="H725" s="9"/>
      <c r="I725" s="11"/>
      <c r="J725" s="11"/>
      <c r="K725" s="11"/>
      <c r="L725" s="11"/>
      <c r="Q725" s="16">
        <v>45833</v>
      </c>
    </row>
    <row r="726" spans="1:17" ht="14.4">
      <c r="A726" s="14" t="s">
        <v>1121</v>
      </c>
      <c r="B726" s="14" t="s">
        <v>1122</v>
      </c>
      <c r="C726" s="14" t="s">
        <v>1123</v>
      </c>
      <c r="D726" s="15">
        <v>41122</v>
      </c>
      <c r="E726" s="14"/>
      <c r="F726" s="14"/>
      <c r="G726" s="14"/>
      <c r="H726" s="10"/>
      <c r="I726" s="10"/>
      <c r="J726" s="10"/>
      <c r="K726" s="10"/>
      <c r="L726" s="10"/>
      <c r="M726" s="14"/>
      <c r="N726" s="14"/>
      <c r="O726" s="14"/>
      <c r="P726" s="14"/>
    </row>
    <row r="727" spans="1:17" ht="14.4">
      <c r="A727" s="13" t="s">
        <v>1124</v>
      </c>
      <c r="B727" s="13" t="s">
        <v>1125</v>
      </c>
      <c r="C727" s="14" t="s">
        <v>1126</v>
      </c>
      <c r="D727" s="14"/>
      <c r="E727" s="14"/>
      <c r="F727" s="14"/>
      <c r="G727" s="14"/>
      <c r="H727" s="10"/>
      <c r="I727" s="10"/>
      <c r="J727" s="10"/>
      <c r="K727" s="10"/>
      <c r="L727" s="10"/>
      <c r="M727" s="15">
        <v>42064</v>
      </c>
      <c r="N727" s="14"/>
      <c r="O727" s="14"/>
      <c r="P727" s="14"/>
    </row>
    <row r="728" spans="1:17" ht="14.4">
      <c r="A728" s="6" t="s">
        <v>1127</v>
      </c>
      <c r="B728" s="8">
        <v>1130453070</v>
      </c>
      <c r="C728" s="6" t="s">
        <v>1128</v>
      </c>
      <c r="H728" s="9" t="s">
        <v>123</v>
      </c>
      <c r="I728" s="11"/>
      <c r="J728" s="11"/>
      <c r="K728" s="11"/>
      <c r="L728" s="11"/>
    </row>
    <row r="729" spans="1:17" ht="14.4">
      <c r="A729" s="25" t="s">
        <v>1129</v>
      </c>
      <c r="B729" s="26">
        <v>1162810539</v>
      </c>
      <c r="C729" s="25" t="s">
        <v>1130</v>
      </c>
      <c r="D729" s="14" t="s">
        <v>90</v>
      </c>
      <c r="H729" s="22"/>
      <c r="I729" s="11"/>
      <c r="J729" s="11"/>
      <c r="K729" s="11"/>
      <c r="L729" s="11"/>
      <c r="P729" s="14"/>
    </row>
    <row r="730" spans="1:17" ht="14.4">
      <c r="A730" s="14" t="s">
        <v>1131</v>
      </c>
      <c r="B730" s="14"/>
      <c r="C730" s="19" t="str">
        <f>HYPERLINK("mailto:jemorando@gmail.com","jemorando@gmail.com")</f>
        <v>jemorando@gmail.com</v>
      </c>
      <c r="D730" s="14"/>
      <c r="E730" s="15">
        <v>41306</v>
      </c>
      <c r="F730" s="14"/>
      <c r="G730" s="14"/>
      <c r="H730" s="10"/>
      <c r="I730" s="10"/>
      <c r="J730" s="10"/>
      <c r="K730" s="10"/>
      <c r="L730" s="10"/>
      <c r="M730" s="14"/>
      <c r="N730" s="14"/>
      <c r="O730" s="14"/>
      <c r="P730" s="14"/>
    </row>
    <row r="731" spans="1:17" ht="14.4">
      <c r="A731" s="14" t="s">
        <v>1132</v>
      </c>
      <c r="B731" s="14" t="s">
        <v>1133</v>
      </c>
      <c r="C731" s="19" t="str">
        <f>HYPERLINK("mailto:jorgelinaroberts@hotmail.com","jorgelinaroberts@hotmail.com")</f>
        <v>jorgelinaroberts@hotmail.com</v>
      </c>
      <c r="D731" s="15">
        <v>41334</v>
      </c>
      <c r="E731" s="14"/>
      <c r="F731" s="15">
        <v>41426</v>
      </c>
      <c r="G731" s="14"/>
      <c r="H731" s="10"/>
      <c r="I731" s="10"/>
      <c r="J731" s="10"/>
      <c r="K731" s="10"/>
      <c r="L731" s="10"/>
      <c r="M731" s="14"/>
      <c r="N731" s="14"/>
      <c r="O731" s="14"/>
      <c r="P731" s="14"/>
    </row>
    <row r="732" spans="1:17" ht="14.4">
      <c r="A732" s="14" t="s">
        <v>1134</v>
      </c>
      <c r="B732" s="10" t="s">
        <v>1135</v>
      </c>
      <c r="C732" s="10" t="s">
        <v>1136</v>
      </c>
      <c r="D732" s="14"/>
      <c r="E732" s="14"/>
      <c r="F732" s="14"/>
      <c r="G732" s="14"/>
      <c r="H732" s="23" t="s">
        <v>257</v>
      </c>
      <c r="I732" s="23" t="s">
        <v>1137</v>
      </c>
      <c r="J732" s="23"/>
      <c r="K732" s="23"/>
      <c r="L732" s="23"/>
      <c r="M732" s="14"/>
      <c r="N732" s="14"/>
      <c r="O732" s="14"/>
      <c r="P732" s="14"/>
    </row>
    <row r="733" spans="1:17" ht="14.4">
      <c r="A733" s="9" t="s">
        <v>1138</v>
      </c>
      <c r="B733" s="55">
        <v>1562161247</v>
      </c>
      <c r="C733" s="17" t="s">
        <v>1139</v>
      </c>
      <c r="D733" s="49">
        <v>43421</v>
      </c>
      <c r="E733" s="14"/>
      <c r="F733" s="14"/>
      <c r="G733" s="6"/>
      <c r="H733" s="9"/>
      <c r="I733" s="10"/>
      <c r="J733" s="10"/>
      <c r="K733" s="10"/>
      <c r="L733" s="10"/>
      <c r="P733" s="14"/>
    </row>
    <row r="734" spans="1:17" ht="14.4">
      <c r="A734" s="6" t="s">
        <v>1140</v>
      </c>
      <c r="B734" s="6"/>
      <c r="C734" s="10" t="s">
        <v>1141</v>
      </c>
      <c r="H734" s="22" t="s">
        <v>275</v>
      </c>
      <c r="I734" s="11"/>
      <c r="J734" s="11"/>
      <c r="K734" s="11"/>
      <c r="L734" s="11"/>
    </row>
    <row r="735" spans="1:17" ht="14.4">
      <c r="A735" s="6" t="s">
        <v>1142</v>
      </c>
      <c r="B735" s="7"/>
      <c r="C735" s="7"/>
      <c r="H735" s="9"/>
      <c r="I735" s="11"/>
      <c r="J735" s="10" t="s">
        <v>35</v>
      </c>
      <c r="K735" s="11"/>
      <c r="L735" s="11"/>
    </row>
    <row r="736" spans="1:17" ht="14.4">
      <c r="A736" s="6" t="s">
        <v>1143</v>
      </c>
      <c r="B736" s="7"/>
      <c r="C736" s="6" t="s">
        <v>1144</v>
      </c>
      <c r="H736" s="17" t="s">
        <v>19</v>
      </c>
      <c r="I736" s="11"/>
      <c r="J736" s="11"/>
      <c r="K736" s="11"/>
      <c r="L736" s="11"/>
    </row>
    <row r="737" spans="1:16" ht="14.4">
      <c r="A737" s="6" t="s">
        <v>1143</v>
      </c>
      <c r="B737" s="7"/>
      <c r="C737" s="6" t="s">
        <v>1144</v>
      </c>
      <c r="H737" s="9"/>
      <c r="I737" s="10" t="s">
        <v>20</v>
      </c>
      <c r="J737" s="11"/>
      <c r="K737" s="11"/>
      <c r="L737" s="11"/>
    </row>
    <row r="738" spans="1:16" ht="14.4">
      <c r="A738" s="14" t="s">
        <v>1145</v>
      </c>
      <c r="B738" s="14" t="s">
        <v>1146</v>
      </c>
      <c r="C738" s="19" t="str">
        <f>HYPERLINK("mailto:josefitalanfranco@hotmail.com","josefitalanfranco@hotmail.com")</f>
        <v>josefitalanfranco@hotmail.com</v>
      </c>
      <c r="D738" s="15">
        <v>41183</v>
      </c>
      <c r="E738" s="14"/>
      <c r="F738" s="14"/>
      <c r="G738" s="14"/>
      <c r="H738" s="10"/>
      <c r="I738" s="10"/>
      <c r="J738" s="10"/>
      <c r="K738" s="10"/>
      <c r="L738" s="10"/>
      <c r="M738" s="14"/>
      <c r="N738" s="14"/>
      <c r="O738" s="14"/>
      <c r="P738" s="14"/>
    </row>
    <row r="739" spans="1:16" ht="14.4">
      <c r="A739" s="6" t="s">
        <v>1147</v>
      </c>
      <c r="B739" s="17">
        <v>1133048964</v>
      </c>
      <c r="C739" s="10" t="s">
        <v>1148</v>
      </c>
      <c r="H739" s="30" t="s">
        <v>73</v>
      </c>
      <c r="I739" s="10" t="s">
        <v>215</v>
      </c>
      <c r="J739" s="11"/>
      <c r="K739" s="10" t="s">
        <v>212</v>
      </c>
      <c r="L739" s="10"/>
      <c r="P739" s="14"/>
    </row>
    <row r="740" spans="1:16" ht="14.4">
      <c r="A740" s="9" t="s">
        <v>1149</v>
      </c>
      <c r="B740" s="7"/>
      <c r="C740" s="6"/>
      <c r="H740" s="9" t="s">
        <v>29</v>
      </c>
      <c r="I740" s="11"/>
      <c r="J740" s="11"/>
      <c r="K740" s="11"/>
      <c r="L740" s="11"/>
    </row>
    <row r="741" spans="1:16" ht="14.4">
      <c r="A741" s="9" t="s">
        <v>1149</v>
      </c>
      <c r="B741" s="7"/>
      <c r="C741" s="6"/>
      <c r="H741" s="9"/>
      <c r="I741" s="10" t="s">
        <v>30</v>
      </c>
      <c r="J741" s="11"/>
      <c r="K741" s="11"/>
      <c r="L741" s="11"/>
    </row>
    <row r="742" spans="1:16" ht="14.4">
      <c r="A742" s="6" t="s">
        <v>1150</v>
      </c>
      <c r="B742" s="7"/>
      <c r="C742" s="7"/>
      <c r="H742" s="9" t="s">
        <v>23</v>
      </c>
      <c r="I742" s="11"/>
      <c r="J742" s="11"/>
      <c r="K742" s="11"/>
      <c r="L742" s="11"/>
    </row>
    <row r="743" spans="1:16" ht="14.4">
      <c r="A743" s="9" t="s">
        <v>1150</v>
      </c>
      <c r="B743" s="7"/>
      <c r="C743" s="7"/>
      <c r="H743" s="9"/>
      <c r="I743" s="11" t="s">
        <v>24</v>
      </c>
      <c r="J743" s="11"/>
      <c r="K743" s="11"/>
      <c r="L743" s="11"/>
    </row>
    <row r="744" spans="1:16" ht="14.4">
      <c r="A744" s="13" t="s">
        <v>1151</v>
      </c>
      <c r="B744" s="13" t="s">
        <v>1152</v>
      </c>
      <c r="C744" s="46" t="str">
        <f>HYPERLINK("mailto:joseangeloni@hotmail.com","joseangeloni@hotmail.com")</f>
        <v>joseangeloni@hotmail.com</v>
      </c>
      <c r="D744" s="15">
        <v>40817</v>
      </c>
      <c r="E744" s="14"/>
      <c r="F744" s="14"/>
      <c r="G744" s="14"/>
      <c r="H744" s="10"/>
      <c r="I744" s="10"/>
      <c r="J744" s="10"/>
      <c r="K744" s="10"/>
      <c r="L744" s="10"/>
      <c r="M744" s="14"/>
      <c r="N744" s="14"/>
      <c r="O744" s="14"/>
      <c r="P744" s="14"/>
    </row>
    <row r="745" spans="1:16" ht="14.4">
      <c r="A745" s="14" t="s">
        <v>1153</v>
      </c>
      <c r="B745" s="14" t="s">
        <v>1154</v>
      </c>
      <c r="C745" s="19" t="str">
        <f>HYPERLINK("mailto:jo.muslera@gmail.com","jo.muslera@gmail.com")</f>
        <v>jo.muslera@gmail.com</v>
      </c>
      <c r="D745" s="15">
        <v>41091</v>
      </c>
      <c r="E745" s="14"/>
      <c r="F745" s="14"/>
      <c r="G745" s="14"/>
      <c r="H745" s="10"/>
      <c r="I745" s="10"/>
      <c r="J745" s="10"/>
      <c r="K745" s="10"/>
      <c r="L745" s="10"/>
      <c r="M745" s="14"/>
      <c r="N745" s="14"/>
      <c r="O745" s="14"/>
      <c r="P745" s="14"/>
    </row>
    <row r="746" spans="1:16" ht="14.4">
      <c r="A746" s="14" t="s">
        <v>1155</v>
      </c>
      <c r="B746" s="17">
        <v>1565240289</v>
      </c>
      <c r="C746" s="28" t="s">
        <v>1156</v>
      </c>
      <c r="D746" s="36">
        <v>43299</v>
      </c>
      <c r="H746" s="22"/>
      <c r="I746" s="11"/>
      <c r="J746" s="11"/>
      <c r="K746" s="11"/>
      <c r="L746" s="11"/>
      <c r="P746" s="14"/>
    </row>
    <row r="747" spans="1:16" ht="14.4">
      <c r="A747" s="7" t="s">
        <v>1157</v>
      </c>
      <c r="B747" s="7"/>
      <c r="C747" s="7" t="s">
        <v>1158</v>
      </c>
      <c r="H747" s="17" t="s">
        <v>20</v>
      </c>
      <c r="I747" s="11"/>
      <c r="J747" s="11"/>
      <c r="K747" s="11"/>
      <c r="L747" s="11"/>
    </row>
    <row r="748" spans="1:16" ht="14.4">
      <c r="A748" s="7" t="s">
        <v>1157</v>
      </c>
      <c r="B748" s="7"/>
      <c r="C748" s="7" t="s">
        <v>1158</v>
      </c>
      <c r="H748" s="9"/>
      <c r="I748" s="10" t="s">
        <v>35</v>
      </c>
      <c r="J748" s="11"/>
      <c r="K748" s="11"/>
      <c r="L748" s="11"/>
    </row>
    <row r="749" spans="1:16" ht="14.4">
      <c r="A749" s="9" t="s">
        <v>1157</v>
      </c>
      <c r="B749" s="53"/>
      <c r="C749" s="6" t="s">
        <v>1158</v>
      </c>
      <c r="H749" s="9"/>
      <c r="I749" s="11"/>
      <c r="J749" s="10" t="s">
        <v>67</v>
      </c>
      <c r="K749" s="11"/>
      <c r="L749" s="11"/>
    </row>
    <row r="750" spans="1:16" ht="14.4">
      <c r="A750" s="6" t="s">
        <v>1159</v>
      </c>
      <c r="B750" s="7"/>
      <c r="C750" s="6"/>
      <c r="H750" s="9"/>
      <c r="I750" s="9" t="s">
        <v>123</v>
      </c>
      <c r="J750" s="11"/>
      <c r="K750" s="11"/>
      <c r="L750" s="11"/>
    </row>
    <row r="751" spans="1:16" ht="14.4">
      <c r="A751" s="13" t="s">
        <v>1160</v>
      </c>
      <c r="B751" s="13" t="s">
        <v>1161</v>
      </c>
      <c r="C751" s="14" t="s">
        <v>1162</v>
      </c>
      <c r="D751" s="14"/>
      <c r="E751" s="14"/>
      <c r="F751" s="14"/>
      <c r="G751" s="14"/>
      <c r="H751" s="10"/>
      <c r="I751" s="10"/>
      <c r="J751" s="10"/>
      <c r="K751" s="10"/>
      <c r="L751" s="10"/>
      <c r="M751" s="15">
        <v>42064</v>
      </c>
      <c r="N751" s="14"/>
      <c r="O751" s="14"/>
      <c r="P751" s="14"/>
    </row>
    <row r="752" spans="1:16" ht="14.4">
      <c r="A752" s="6" t="s">
        <v>1163</v>
      </c>
      <c r="B752" s="7"/>
      <c r="C752" s="6" t="s">
        <v>1164</v>
      </c>
      <c r="H752" s="17" t="s">
        <v>19</v>
      </c>
      <c r="I752" s="11"/>
      <c r="J752" s="11"/>
      <c r="K752" s="11"/>
      <c r="L752" s="11"/>
    </row>
    <row r="753" spans="1:16" ht="14.4">
      <c r="A753" s="6" t="s">
        <v>1165</v>
      </c>
      <c r="B753" s="7"/>
      <c r="C753" s="7"/>
      <c r="H753" s="9" t="s">
        <v>82</v>
      </c>
      <c r="I753" s="11"/>
      <c r="J753" s="11"/>
      <c r="K753" s="11"/>
      <c r="L753" s="11"/>
    </row>
    <row r="754" spans="1:16" ht="14.4">
      <c r="A754" s="9" t="s">
        <v>1165</v>
      </c>
      <c r="B754" s="7"/>
      <c r="C754" s="7"/>
      <c r="H754" s="9"/>
      <c r="I754" s="35">
        <v>45713</v>
      </c>
      <c r="J754" s="11"/>
      <c r="K754" s="11"/>
      <c r="L754" s="11"/>
    </row>
    <row r="755" spans="1:16" ht="14.4">
      <c r="A755" s="14" t="s">
        <v>1166</v>
      </c>
      <c r="B755" s="14" t="s">
        <v>1167</v>
      </c>
      <c r="C755" s="19" t="str">
        <f>HYPERLINK("mailto:camaju@gmail.com","camaju@gmail.com")</f>
        <v>camaju@gmail.com</v>
      </c>
      <c r="D755" s="15">
        <v>41122</v>
      </c>
      <c r="E755" s="14"/>
      <c r="F755" s="14"/>
      <c r="G755" s="14"/>
      <c r="H755" s="10"/>
      <c r="I755" s="10"/>
      <c r="J755" s="10"/>
      <c r="K755" s="10"/>
      <c r="L755" s="10"/>
      <c r="M755" s="14"/>
      <c r="N755" s="14"/>
      <c r="O755" s="14"/>
      <c r="P755" s="14"/>
    </row>
    <row r="756" spans="1:16" ht="14.4">
      <c r="A756" s="14" t="s">
        <v>1168</v>
      </c>
      <c r="B756" s="45" t="str">
        <f>HYPERLINK("tel:1133941137"," 1133941137")</f>
        <v> 1133941137</v>
      </c>
      <c r="C756" s="14" t="s">
        <v>1169</v>
      </c>
      <c r="D756" s="15">
        <v>42064</v>
      </c>
      <c r="E756" s="14"/>
      <c r="F756" s="14"/>
      <c r="G756" s="14"/>
      <c r="H756" s="10"/>
      <c r="I756" s="10"/>
      <c r="J756" s="10"/>
      <c r="K756" s="10"/>
      <c r="L756" s="10"/>
      <c r="M756" s="14"/>
      <c r="N756" s="14"/>
      <c r="O756" s="14"/>
      <c r="P756" s="14"/>
    </row>
    <row r="757" spans="1:16" ht="14.4">
      <c r="A757" s="13" t="s">
        <v>1170</v>
      </c>
      <c r="B757" s="13" t="s">
        <v>1171</v>
      </c>
      <c r="C757" s="14" t="s">
        <v>1172</v>
      </c>
      <c r="D757" s="14"/>
      <c r="E757" s="14"/>
      <c r="F757" s="14"/>
      <c r="G757" s="14"/>
      <c r="H757" s="10"/>
      <c r="I757" s="10"/>
      <c r="J757" s="10"/>
      <c r="K757" s="10"/>
      <c r="L757" s="10"/>
      <c r="M757" s="15">
        <v>42064</v>
      </c>
      <c r="N757" s="14"/>
      <c r="O757" s="14"/>
    </row>
    <row r="758" spans="1:16" ht="14.4">
      <c r="A758" s="9" t="s">
        <v>1173</v>
      </c>
      <c r="B758" s="9" t="s">
        <v>1174</v>
      </c>
      <c r="C758" s="95" t="s">
        <v>1175</v>
      </c>
      <c r="H758" s="22"/>
      <c r="I758" s="11" t="s">
        <v>110</v>
      </c>
      <c r="J758" s="11"/>
      <c r="K758" s="11"/>
      <c r="L758" s="11"/>
    </row>
    <row r="759" spans="1:16" ht="14.4">
      <c r="A759" s="6" t="s">
        <v>1176</v>
      </c>
      <c r="B759" s="8">
        <v>1134237373</v>
      </c>
      <c r="C759" s="6" t="s">
        <v>1177</v>
      </c>
      <c r="H759" s="22"/>
      <c r="I759" s="11"/>
      <c r="J759" s="11"/>
      <c r="K759" s="11" t="s">
        <v>110</v>
      </c>
      <c r="L759" s="11"/>
    </row>
    <row r="760" spans="1:16" ht="14.4">
      <c r="A760" s="6" t="s">
        <v>1178</v>
      </c>
      <c r="B760" s="7"/>
      <c r="C760" s="7"/>
      <c r="D760" s="8">
        <v>15200</v>
      </c>
      <c r="H760" s="9"/>
      <c r="I760" s="11"/>
      <c r="J760" s="11"/>
      <c r="K760" s="11"/>
      <c r="L760" s="41">
        <v>45253</v>
      </c>
    </row>
    <row r="761" spans="1:16" ht="14.4">
      <c r="A761" s="14" t="s">
        <v>1179</v>
      </c>
      <c r="B761" s="14" t="s">
        <v>1180</v>
      </c>
      <c r="C761" s="19" t="str">
        <f>HYPERLINK("mailto:pablo_plep@hotmail.com","juanmartinguerrini@hotmail.com")</f>
        <v>juanmartinguerrini@hotmail.com</v>
      </c>
      <c r="D761" s="14"/>
      <c r="E761" s="15">
        <v>41365</v>
      </c>
      <c r="F761" s="15">
        <v>41365</v>
      </c>
      <c r="G761" s="14"/>
      <c r="H761" s="20">
        <v>41699</v>
      </c>
      <c r="I761" s="10"/>
      <c r="J761" s="10"/>
      <c r="K761" s="10"/>
      <c r="L761" s="10"/>
      <c r="M761" s="14"/>
      <c r="N761" s="14"/>
      <c r="O761" s="14"/>
      <c r="P761" s="14"/>
    </row>
    <row r="762" spans="1:16" ht="14.4">
      <c r="A762" s="14" t="s">
        <v>1181</v>
      </c>
      <c r="B762" s="14"/>
      <c r="C762" s="19" t="str">
        <f>HYPERLINK("mailto:juanmirko@gmail.com","juanmirko@gmail.com")</f>
        <v>juanmirko@gmail.com</v>
      </c>
      <c r="D762" s="14"/>
      <c r="E762" s="15">
        <v>41518</v>
      </c>
      <c r="F762" s="14"/>
      <c r="G762" s="14"/>
      <c r="H762" s="20">
        <v>41791</v>
      </c>
      <c r="I762" s="20">
        <v>42125</v>
      </c>
      <c r="J762" s="20"/>
      <c r="K762" s="20"/>
      <c r="L762" s="20"/>
      <c r="M762" s="14"/>
      <c r="N762" s="14"/>
      <c r="O762" s="14"/>
      <c r="P762" s="14"/>
    </row>
    <row r="763" spans="1:16" ht="14.4">
      <c r="A763" s="6" t="s">
        <v>1182</v>
      </c>
      <c r="B763" s="7"/>
      <c r="C763" s="6" t="s">
        <v>1183</v>
      </c>
      <c r="H763" s="9" t="s">
        <v>67</v>
      </c>
      <c r="I763" s="11"/>
      <c r="J763" s="11"/>
      <c r="K763" s="11"/>
      <c r="L763" s="11"/>
    </row>
    <row r="764" spans="1:16" ht="14.4">
      <c r="A764" s="9" t="s">
        <v>1182</v>
      </c>
      <c r="B764" s="7"/>
      <c r="C764" s="6" t="s">
        <v>1183</v>
      </c>
      <c r="H764" s="9"/>
      <c r="I764" s="10" t="s">
        <v>68</v>
      </c>
      <c r="J764" s="11"/>
      <c r="K764" s="11"/>
      <c r="L764" s="11"/>
    </row>
    <row r="765" spans="1:16" ht="14.4">
      <c r="A765" s="6" t="s">
        <v>1184</v>
      </c>
      <c r="B765" s="7"/>
      <c r="C765" s="6"/>
      <c r="H765" s="9" t="s">
        <v>29</v>
      </c>
      <c r="I765" s="11"/>
      <c r="J765" s="11"/>
      <c r="K765" s="11"/>
      <c r="L765" s="11"/>
    </row>
    <row r="766" spans="1:16" ht="14.4">
      <c r="A766" s="6" t="s">
        <v>1184</v>
      </c>
      <c r="B766" s="7"/>
      <c r="C766" s="6"/>
      <c r="H766" s="9"/>
      <c r="I766" s="10" t="s">
        <v>30</v>
      </c>
      <c r="J766" s="11"/>
      <c r="K766" s="11"/>
      <c r="L766" s="11"/>
    </row>
    <row r="767" spans="1:16" ht="14.4">
      <c r="A767" s="6" t="s">
        <v>1184</v>
      </c>
      <c r="B767" s="7"/>
      <c r="C767" s="6"/>
      <c r="H767" s="9"/>
      <c r="I767" s="11"/>
      <c r="J767" s="10" t="s">
        <v>31</v>
      </c>
      <c r="K767" s="11"/>
      <c r="L767" s="11"/>
    </row>
    <row r="768" spans="1:16" ht="14.4">
      <c r="A768" s="14" t="s">
        <v>1185</v>
      </c>
      <c r="B768" s="14" t="s">
        <v>1186</v>
      </c>
      <c r="C768" s="14" t="s">
        <v>1187</v>
      </c>
      <c r="D768" s="15">
        <v>41730</v>
      </c>
      <c r="E768" s="14"/>
      <c r="F768" s="15">
        <v>41760</v>
      </c>
      <c r="G768" s="15">
        <v>42064</v>
      </c>
      <c r="H768" s="10"/>
      <c r="I768" s="10"/>
      <c r="J768" s="10"/>
      <c r="K768" s="10"/>
      <c r="L768" s="10"/>
      <c r="M768" s="14"/>
      <c r="N768" s="14"/>
      <c r="O768" s="14"/>
      <c r="P768" s="14"/>
    </row>
    <row r="769" spans="1:17" ht="14.4">
      <c r="A769" s="14" t="s">
        <v>1188</v>
      </c>
      <c r="B769" s="14"/>
      <c r="C769" s="19" t="str">
        <f>HYPERLINK("mailto:mvsoiza@broggio.com.ar","mvsoiza@broggio.com.ar")</f>
        <v>mvsoiza@broggio.com.ar</v>
      </c>
      <c r="D769" s="14"/>
      <c r="E769" s="15">
        <v>41426</v>
      </c>
      <c r="F769" s="14"/>
      <c r="G769" s="14"/>
      <c r="H769" s="10"/>
      <c r="I769" s="10"/>
      <c r="J769" s="10"/>
      <c r="K769" s="10"/>
      <c r="L769" s="10"/>
      <c r="M769" s="14"/>
      <c r="N769" s="14"/>
      <c r="O769" s="14"/>
      <c r="P769" s="14"/>
    </row>
    <row r="770" spans="1:17" ht="14.4">
      <c r="A770" s="6" t="s">
        <v>1189</v>
      </c>
      <c r="B770" s="7"/>
      <c r="C770" s="6"/>
      <c r="H770" s="9" t="s">
        <v>30</v>
      </c>
      <c r="I770" s="11"/>
      <c r="J770" s="11"/>
      <c r="K770" s="11"/>
      <c r="L770" s="11"/>
    </row>
    <row r="771" spans="1:17" ht="14.4">
      <c r="A771" s="14" t="s">
        <v>1190</v>
      </c>
      <c r="B771" s="13">
        <v>1532186426</v>
      </c>
      <c r="C771" s="14" t="s">
        <v>1191</v>
      </c>
      <c r="D771" s="14"/>
      <c r="E771" s="14"/>
      <c r="F771" s="14"/>
      <c r="G771" s="14"/>
      <c r="H771" s="20">
        <v>41821</v>
      </c>
      <c r="I771" s="10"/>
      <c r="J771" s="10"/>
      <c r="K771" s="10"/>
      <c r="L771" s="10"/>
      <c r="M771" s="15">
        <v>42064</v>
      </c>
      <c r="N771" s="14"/>
      <c r="O771" s="14"/>
      <c r="P771" s="14"/>
    </row>
    <row r="772" spans="1:17" ht="14.4">
      <c r="A772" s="6" t="s">
        <v>1192</v>
      </c>
      <c r="B772" s="8">
        <v>1150225415</v>
      </c>
      <c r="C772" s="6" t="s">
        <v>1193</v>
      </c>
      <c r="H772" s="57" t="s">
        <v>294</v>
      </c>
      <c r="I772" s="11"/>
      <c r="J772" s="11"/>
      <c r="K772" s="11"/>
      <c r="L772" s="11"/>
    </row>
    <row r="773" spans="1:17" ht="14.4">
      <c r="A773" s="6" t="s">
        <v>1192</v>
      </c>
      <c r="B773" s="8">
        <v>1150225415</v>
      </c>
      <c r="C773" s="6" t="s">
        <v>1193</v>
      </c>
      <c r="H773" s="22"/>
      <c r="I773" s="43" t="s">
        <v>295</v>
      </c>
      <c r="J773" s="11"/>
      <c r="K773" s="11"/>
      <c r="L773" s="11"/>
    </row>
    <row r="774" spans="1:17" ht="14.4">
      <c r="A774" s="14" t="s">
        <v>1194</v>
      </c>
      <c r="B774" s="14" t="s">
        <v>1195</v>
      </c>
      <c r="C774" s="19" t="str">
        <f>HYPERLINK("mailto:ju.tussie@hotmail.com","ju.tussie@hotmail.com")</f>
        <v>ju.tussie@hotmail.com</v>
      </c>
      <c r="D774" s="15">
        <v>41730</v>
      </c>
      <c r="E774" s="14"/>
      <c r="F774" s="14"/>
      <c r="G774" s="14"/>
      <c r="H774" s="10"/>
      <c r="I774" s="10"/>
      <c r="J774" s="10"/>
      <c r="K774" s="10"/>
      <c r="L774" s="10"/>
      <c r="M774" s="14"/>
      <c r="N774" s="14"/>
      <c r="O774" s="14"/>
      <c r="P774" s="14"/>
    </row>
    <row r="775" spans="1:17" ht="14.4">
      <c r="A775" s="14" t="s">
        <v>1196</v>
      </c>
      <c r="B775" s="14" t="s">
        <v>1197</v>
      </c>
      <c r="C775" s="19" t="str">
        <f>HYPERLINK("mailto:mjulivelez@gmail.com","mjulivelez@gmail.com")</f>
        <v>mjulivelez@gmail.com</v>
      </c>
      <c r="D775" s="14"/>
      <c r="E775" s="14"/>
      <c r="F775" s="15">
        <v>41913</v>
      </c>
      <c r="G775" s="14"/>
      <c r="H775" s="10"/>
      <c r="I775" s="10"/>
      <c r="J775" s="10"/>
      <c r="K775" s="10"/>
      <c r="L775" s="10"/>
      <c r="M775" s="14"/>
      <c r="N775" s="14"/>
      <c r="O775" s="14"/>
      <c r="P775" s="14"/>
    </row>
    <row r="776" spans="1:17" ht="14.4">
      <c r="A776" s="14" t="s">
        <v>1198</v>
      </c>
      <c r="B776" s="14" t="s">
        <v>1199</v>
      </c>
      <c r="C776" s="19" t="str">
        <f>HYPERLINK("mailto:juanhelo23@gmail.com","juanhelo23@gmail.com")</f>
        <v>juanhelo23@gmail.com</v>
      </c>
      <c r="D776" s="14"/>
      <c r="E776" s="14"/>
      <c r="F776" s="15">
        <v>41000</v>
      </c>
      <c r="G776" s="14"/>
      <c r="H776" s="10"/>
      <c r="I776" s="10"/>
      <c r="J776" s="10"/>
      <c r="K776" s="10"/>
      <c r="L776" s="10"/>
      <c r="M776" s="14"/>
      <c r="N776" s="14"/>
      <c r="O776" s="14"/>
      <c r="P776" s="14"/>
    </row>
    <row r="777" spans="1:17" ht="14.4">
      <c r="A777" s="14" t="s">
        <v>1200</v>
      </c>
      <c r="B777" s="14" t="s">
        <v>1201</v>
      </c>
      <c r="C777" s="14" t="s">
        <v>1202</v>
      </c>
      <c r="D777" s="15">
        <v>41183</v>
      </c>
      <c r="E777" s="14"/>
      <c r="F777" s="14"/>
      <c r="G777" s="14"/>
      <c r="H777" s="10"/>
      <c r="I777" s="10"/>
      <c r="J777" s="10"/>
      <c r="K777" s="10"/>
      <c r="L777" s="10"/>
      <c r="M777" s="14"/>
      <c r="N777" s="14"/>
      <c r="O777" s="14"/>
      <c r="P777" s="14"/>
    </row>
    <row r="778" spans="1:17" ht="14.4">
      <c r="A778" s="14" t="s">
        <v>1203</v>
      </c>
      <c r="B778" s="14" t="s">
        <v>1204</v>
      </c>
      <c r="C778" s="19" t="str">
        <f>HYPERLINK("mailto:julyakdmica@hotmail.com","julyakdmica@hotmail.com")</f>
        <v>julyakdmica@hotmail.com</v>
      </c>
      <c r="D778" s="14"/>
      <c r="E778" s="14"/>
      <c r="F778" s="15">
        <v>41000</v>
      </c>
      <c r="G778" s="14"/>
      <c r="H778" s="10"/>
      <c r="I778" s="10"/>
      <c r="J778" s="10"/>
      <c r="K778" s="10"/>
      <c r="L778" s="10"/>
      <c r="M778" s="14"/>
      <c r="N778" s="14"/>
      <c r="O778" s="14"/>
      <c r="P778" s="14"/>
    </row>
    <row r="779" spans="1:17" ht="14.4">
      <c r="A779" s="13" t="s">
        <v>1205</v>
      </c>
      <c r="B779" s="13" t="s">
        <v>1206</v>
      </c>
      <c r="C779" s="46" t="str">
        <f>HYPERLINK("mailto:julianeandrade@hotmail.com","julianeandrade@hotmail.com")</f>
        <v>julianeandrade@hotmail.com</v>
      </c>
      <c r="D779" s="15">
        <v>40817</v>
      </c>
      <c r="E779" s="14"/>
      <c r="F779" s="14"/>
      <c r="G779" s="14"/>
      <c r="H779" s="10"/>
      <c r="I779" s="10"/>
      <c r="J779" s="10"/>
      <c r="K779" s="10"/>
      <c r="L779" s="10"/>
      <c r="M779" s="14"/>
      <c r="N779" s="14"/>
      <c r="O779" s="14"/>
      <c r="P779" s="14"/>
    </row>
    <row r="780" spans="1:17" ht="14.4">
      <c r="A780" s="6" t="s">
        <v>1207</v>
      </c>
      <c r="B780" s="7"/>
      <c r="C780" s="7"/>
      <c r="H780" s="9" t="s">
        <v>23</v>
      </c>
      <c r="I780" s="11"/>
      <c r="J780" s="11"/>
      <c r="K780" s="11"/>
      <c r="L780" s="11"/>
    </row>
    <row r="781" spans="1:17" ht="14.4">
      <c r="A781" s="9" t="s">
        <v>1207</v>
      </c>
      <c r="B781" s="7"/>
      <c r="C781" s="7"/>
      <c r="H781" s="9"/>
      <c r="I781" s="11" t="s">
        <v>24</v>
      </c>
      <c r="J781" s="11"/>
      <c r="K781" s="11"/>
      <c r="L781" s="11"/>
    </row>
    <row r="782" spans="1:17" ht="14.4">
      <c r="A782" s="10" t="s">
        <v>1208</v>
      </c>
      <c r="B782" s="17" t="s">
        <v>1209</v>
      </c>
      <c r="C782" s="17" t="s">
        <v>1210</v>
      </c>
      <c r="H782" s="23" t="s">
        <v>742</v>
      </c>
      <c r="I782" s="11"/>
      <c r="J782" s="11"/>
      <c r="K782" s="11"/>
      <c r="L782" s="11"/>
      <c r="P782" s="14"/>
    </row>
    <row r="783" spans="1:17" ht="14.4">
      <c r="A783" s="6" t="s">
        <v>1211</v>
      </c>
      <c r="B783" s="7"/>
      <c r="C783" s="7"/>
      <c r="H783" s="9"/>
      <c r="I783" s="11"/>
      <c r="J783" s="11"/>
      <c r="K783" s="11"/>
      <c r="L783" s="11"/>
      <c r="Q783" s="16">
        <v>45713</v>
      </c>
    </row>
    <row r="784" spans="1:17" ht="14.4">
      <c r="A784" s="14" t="s">
        <v>1212</v>
      </c>
      <c r="B784" s="13">
        <v>1165646996</v>
      </c>
      <c r="C784" s="19" t="str">
        <f>HYPERLINK("mailto:julieta.mendez@live.com.ar","julieta.mendez@live.com.ar")</f>
        <v>julieta.mendez@live.com.ar</v>
      </c>
      <c r="D784" s="15">
        <v>41000</v>
      </c>
      <c r="E784" s="14"/>
      <c r="F784" s="15">
        <v>41153</v>
      </c>
      <c r="G784" s="15">
        <v>41760</v>
      </c>
      <c r="H784" s="10"/>
      <c r="I784" s="20">
        <v>41609</v>
      </c>
      <c r="J784" s="20"/>
      <c r="K784" s="20"/>
      <c r="L784" s="20"/>
      <c r="M784" s="15">
        <v>42064</v>
      </c>
      <c r="N784" s="14"/>
      <c r="O784" s="14"/>
      <c r="P784" s="14"/>
    </row>
    <row r="785" spans="1:17" ht="14.4">
      <c r="A785" s="6" t="s">
        <v>1213</v>
      </c>
      <c r="B785" s="7"/>
      <c r="C785" s="6"/>
      <c r="H785" s="9" t="s">
        <v>49</v>
      </c>
      <c r="I785" s="10" t="s">
        <v>50</v>
      </c>
      <c r="J785" s="11"/>
      <c r="K785" s="11"/>
      <c r="L785" s="11"/>
    </row>
    <row r="786" spans="1:17" ht="14.4">
      <c r="A786" s="6" t="s">
        <v>1213</v>
      </c>
      <c r="B786" s="7"/>
      <c r="C786" s="6"/>
      <c r="H786" s="9"/>
      <c r="I786" s="11"/>
      <c r="J786" s="10" t="s">
        <v>51</v>
      </c>
      <c r="K786" s="11"/>
      <c r="L786" s="11"/>
    </row>
    <row r="787" spans="1:17" ht="14.4">
      <c r="A787" s="14" t="s">
        <v>1214</v>
      </c>
      <c r="B787" s="14"/>
      <c r="C787" s="14" t="s">
        <v>1215</v>
      </c>
      <c r="D787" s="14"/>
      <c r="E787" s="14"/>
      <c r="F787" s="14"/>
      <c r="G787" s="14"/>
      <c r="H787" s="20">
        <v>41579</v>
      </c>
      <c r="I787" s="10"/>
      <c r="J787" s="10"/>
      <c r="K787" s="10"/>
      <c r="L787" s="10"/>
      <c r="M787" s="14"/>
      <c r="N787" s="14"/>
      <c r="O787" s="14"/>
      <c r="P787" s="14"/>
    </row>
    <row r="788" spans="1:17" ht="14.4">
      <c r="A788" s="14" t="s">
        <v>1216</v>
      </c>
      <c r="B788" s="14"/>
      <c r="C788" s="10" t="s">
        <v>1217</v>
      </c>
      <c r="D788" s="39">
        <v>43391</v>
      </c>
      <c r="E788" s="14"/>
      <c r="F788" s="14"/>
      <c r="G788" s="14"/>
      <c r="H788" s="10"/>
      <c r="I788" s="11"/>
      <c r="J788" s="11"/>
      <c r="K788" s="11"/>
      <c r="L788" s="11"/>
      <c r="P788" s="14"/>
    </row>
    <row r="789" spans="1:17" ht="14.4">
      <c r="A789" s="6" t="s">
        <v>1218</v>
      </c>
      <c r="B789" s="96">
        <v>3465520575</v>
      </c>
      <c r="C789" s="7"/>
      <c r="H789" s="22"/>
      <c r="I789" s="43" t="s">
        <v>295</v>
      </c>
      <c r="J789" s="11"/>
      <c r="K789" s="11"/>
      <c r="L789" s="11"/>
    </row>
    <row r="790" spans="1:17" ht="14.4">
      <c r="A790" s="14" t="s">
        <v>1219</v>
      </c>
      <c r="B790" s="14" t="s">
        <v>1220</v>
      </c>
      <c r="C790" s="19" t="str">
        <f>HYPERLINK("mailto:karinaandrearo@hotmail.com","karinaandrearo@hotmail.com")</f>
        <v>karinaandrearo@hotmail.com</v>
      </c>
      <c r="D790" s="15">
        <v>41730</v>
      </c>
      <c r="E790" s="14"/>
      <c r="F790" s="15">
        <v>41760</v>
      </c>
      <c r="G790" s="14"/>
      <c r="H790" s="10"/>
      <c r="I790" s="10"/>
      <c r="J790" s="10"/>
      <c r="K790" s="10"/>
      <c r="L790" s="10"/>
      <c r="M790" s="14"/>
      <c r="N790" s="14"/>
      <c r="O790" s="14"/>
      <c r="P790" s="14"/>
    </row>
    <row r="791" spans="1:17" ht="14.4">
      <c r="A791" s="6" t="s">
        <v>1221</v>
      </c>
      <c r="B791" s="27">
        <v>1130413976</v>
      </c>
      <c r="C791" s="17" t="s">
        <v>1222</v>
      </c>
      <c r="E791" s="21" t="s">
        <v>372</v>
      </c>
      <c r="H791" s="22"/>
      <c r="I791" s="11"/>
      <c r="J791" s="11"/>
      <c r="K791" s="11"/>
      <c r="L791" s="11"/>
      <c r="P791" s="14"/>
    </row>
    <row r="792" spans="1:17" ht="14.4">
      <c r="A792" s="14" t="s">
        <v>1223</v>
      </c>
      <c r="B792" s="14" t="s">
        <v>1082</v>
      </c>
      <c r="C792" s="14" t="s">
        <v>1224</v>
      </c>
      <c r="D792" s="15">
        <v>41061</v>
      </c>
      <c r="E792" s="14"/>
      <c r="F792" s="14"/>
      <c r="G792" s="14"/>
      <c r="H792" s="10"/>
      <c r="I792" s="10"/>
      <c r="J792" s="10"/>
      <c r="K792" s="10"/>
      <c r="L792" s="10"/>
      <c r="M792" s="14"/>
      <c r="N792" s="14"/>
      <c r="O792" s="14"/>
      <c r="P792" s="14"/>
    </row>
    <row r="793" spans="1:17" ht="14.4">
      <c r="A793" s="6" t="s">
        <v>1225</v>
      </c>
      <c r="B793" s="7"/>
      <c r="C793" s="6" t="s">
        <v>1226</v>
      </c>
      <c r="H793" s="17" t="s">
        <v>19</v>
      </c>
      <c r="I793" s="11"/>
      <c r="J793" s="11"/>
      <c r="K793" s="11"/>
      <c r="L793" s="11"/>
    </row>
    <row r="794" spans="1:17" ht="14.4">
      <c r="A794" s="6" t="s">
        <v>1227</v>
      </c>
      <c r="B794" s="33"/>
      <c r="C794" s="6" t="s">
        <v>1228</v>
      </c>
      <c r="D794" s="14"/>
      <c r="E794" s="14"/>
      <c r="F794" s="14"/>
      <c r="G794" s="6"/>
      <c r="H794" s="30" t="s">
        <v>235</v>
      </c>
      <c r="I794" s="10"/>
      <c r="J794" s="11"/>
      <c r="K794" s="11"/>
      <c r="L794" s="11"/>
      <c r="P794" s="14"/>
    </row>
    <row r="795" spans="1:17" ht="14.4">
      <c r="A795" s="6" t="s">
        <v>1227</v>
      </c>
      <c r="B795" s="6"/>
      <c r="C795" s="6" t="s">
        <v>1228</v>
      </c>
      <c r="H795" s="9" t="s">
        <v>109</v>
      </c>
      <c r="I795" s="11"/>
      <c r="J795" s="11"/>
      <c r="K795" s="11"/>
      <c r="L795" s="11"/>
    </row>
    <row r="796" spans="1:17" ht="14.4">
      <c r="A796" s="6" t="s">
        <v>1227</v>
      </c>
      <c r="B796" s="6"/>
      <c r="C796" s="6" t="s">
        <v>1228</v>
      </c>
      <c r="H796" s="9"/>
      <c r="I796" s="11"/>
      <c r="J796" s="11" t="s">
        <v>159</v>
      </c>
      <c r="K796" s="11"/>
      <c r="L796" s="11"/>
    </row>
    <row r="797" spans="1:17" ht="14.4">
      <c r="A797" s="9" t="s">
        <v>1229</v>
      </c>
      <c r="B797" s="62"/>
      <c r="C797" s="27" t="s">
        <v>1230</v>
      </c>
      <c r="E797" s="21" t="s">
        <v>372</v>
      </c>
      <c r="H797" s="22"/>
      <c r="I797" s="11"/>
      <c r="J797" s="11"/>
      <c r="K797" s="11"/>
      <c r="L797" s="11"/>
      <c r="P797" s="14"/>
    </row>
    <row r="798" spans="1:17" ht="14.4">
      <c r="A798" s="14" t="s">
        <v>1231</v>
      </c>
      <c r="B798" s="14"/>
      <c r="C798" s="19" t="str">
        <f>HYPERLINK("mailto:minsitas@fibertel.com.ar","minsitas@fibertel.com.ar")</f>
        <v>minsitas@fibertel.com.ar</v>
      </c>
      <c r="D798" s="14"/>
      <c r="E798" s="15">
        <v>41456</v>
      </c>
      <c r="F798" s="14"/>
      <c r="G798" s="14"/>
      <c r="H798" s="10"/>
      <c r="I798" s="10"/>
      <c r="J798" s="10"/>
      <c r="K798" s="10"/>
      <c r="L798" s="10"/>
      <c r="M798" s="14"/>
      <c r="N798" s="14"/>
      <c r="O798" s="14"/>
      <c r="P798" s="14"/>
    </row>
    <row r="799" spans="1:17" ht="14.4">
      <c r="A799" s="6" t="s">
        <v>1232</v>
      </c>
      <c r="B799" s="8">
        <v>3513215223</v>
      </c>
      <c r="C799" s="6" t="s">
        <v>1233</v>
      </c>
      <c r="H799" s="57" t="s">
        <v>294</v>
      </c>
      <c r="I799" s="11"/>
      <c r="J799" s="11"/>
      <c r="K799" s="11"/>
      <c r="L799" s="11"/>
    </row>
    <row r="800" spans="1:17" ht="14.4">
      <c r="A800" s="6" t="s">
        <v>1234</v>
      </c>
      <c r="B800" s="7"/>
      <c r="C800" s="7"/>
      <c r="H800" s="9"/>
      <c r="I800" s="11"/>
      <c r="J800" s="11"/>
      <c r="K800" s="11"/>
      <c r="L800" s="11"/>
      <c r="Q800" s="16">
        <v>45833</v>
      </c>
    </row>
    <row r="801" spans="1:17" ht="14.4">
      <c r="A801" s="6" t="s">
        <v>1235</v>
      </c>
      <c r="B801" s="7"/>
      <c r="C801" s="6" t="s">
        <v>1236</v>
      </c>
      <c r="H801" s="9" t="s">
        <v>67</v>
      </c>
      <c r="I801" s="11"/>
      <c r="J801" s="11"/>
      <c r="K801" s="11"/>
      <c r="L801" s="11"/>
    </row>
    <row r="802" spans="1:17" ht="14.4">
      <c r="A802" s="9" t="s">
        <v>1235</v>
      </c>
      <c r="B802" s="7"/>
      <c r="C802" s="6" t="s">
        <v>1236</v>
      </c>
      <c r="H802" s="9"/>
      <c r="I802" s="10" t="s">
        <v>68</v>
      </c>
      <c r="J802" s="11"/>
      <c r="K802" s="11"/>
      <c r="L802" s="11"/>
    </row>
    <row r="803" spans="1:17" ht="14.4">
      <c r="A803" s="14" t="s">
        <v>1237</v>
      </c>
      <c r="B803" s="14" t="s">
        <v>1238</v>
      </c>
      <c r="C803" s="19" t="str">
        <f>HYPERLINK("mailto:mlaurad39@hotmail.com","mlaurad39@hotmail.com")</f>
        <v>mlaurad39@hotmail.com</v>
      </c>
      <c r="D803" s="15">
        <v>40664</v>
      </c>
      <c r="E803" s="14"/>
      <c r="F803" s="15">
        <v>40756</v>
      </c>
      <c r="G803" s="14"/>
      <c r="H803" s="10"/>
      <c r="I803" s="10"/>
      <c r="J803" s="10"/>
      <c r="K803" s="10"/>
      <c r="L803" s="10"/>
      <c r="M803" s="14"/>
      <c r="N803" s="14"/>
      <c r="O803" s="14"/>
      <c r="P803" s="14"/>
    </row>
    <row r="804" spans="1:17" ht="14.4">
      <c r="A804" s="14" t="s">
        <v>1239</v>
      </c>
      <c r="B804" s="14" t="s">
        <v>1240</v>
      </c>
      <c r="C804" s="19" t="str">
        <f>HYPERLINK("mailto:Maria.L.Agramunt1@aexp.com","Maria.L.Agramunt1@aexp.com")</f>
        <v>Maria.L.Agramunt1@aexp.com</v>
      </c>
      <c r="D804" s="15">
        <v>41334</v>
      </c>
      <c r="E804" s="14"/>
      <c r="F804" s="15">
        <v>41426</v>
      </c>
      <c r="G804" s="14"/>
      <c r="H804" s="10"/>
      <c r="I804" s="10"/>
      <c r="J804" s="10"/>
      <c r="K804" s="10"/>
      <c r="L804" s="10"/>
      <c r="M804" s="14"/>
      <c r="N804" s="14"/>
      <c r="O804" s="14"/>
      <c r="P804" s="14"/>
    </row>
    <row r="805" spans="1:17" ht="14.4">
      <c r="A805" s="6" t="s">
        <v>1241</v>
      </c>
      <c r="B805" s="8">
        <v>1160198800</v>
      </c>
      <c r="C805" s="6" t="s">
        <v>1242</v>
      </c>
      <c r="H805" s="9" t="s">
        <v>94</v>
      </c>
      <c r="I805" s="11"/>
      <c r="J805" s="11"/>
      <c r="K805" s="11"/>
      <c r="L805" s="11"/>
    </row>
    <row r="806" spans="1:17" ht="14.4">
      <c r="A806" s="6" t="s">
        <v>1241</v>
      </c>
      <c r="B806" s="7"/>
      <c r="C806" s="6"/>
      <c r="H806" s="9" t="s">
        <v>94</v>
      </c>
      <c r="I806" s="11"/>
      <c r="J806" s="11"/>
      <c r="K806" s="11"/>
      <c r="L806" s="11"/>
    </row>
    <row r="807" spans="1:17" ht="14.4">
      <c r="A807" s="14" t="s">
        <v>1243</v>
      </c>
      <c r="B807" s="14" t="s">
        <v>1244</v>
      </c>
      <c r="C807" s="14" t="s">
        <v>1245</v>
      </c>
      <c r="D807" s="14"/>
      <c r="E807" s="15">
        <v>41821</v>
      </c>
      <c r="F807" s="14"/>
      <c r="G807" s="14"/>
      <c r="H807" s="10"/>
      <c r="I807" s="10"/>
      <c r="J807" s="10"/>
      <c r="K807" s="10"/>
      <c r="L807" s="10"/>
      <c r="M807" s="14"/>
      <c r="N807" s="14"/>
      <c r="O807" s="14"/>
      <c r="P807" s="14"/>
    </row>
    <row r="808" spans="1:17" ht="14.4">
      <c r="A808" s="44" t="s">
        <v>1246</v>
      </c>
      <c r="B808" s="44" t="s">
        <v>1247</v>
      </c>
      <c r="C808" s="19" t="str">
        <f>HYPERLINK("mailto:laucastillo27@gmail.com","laucastillo27@gmail.com")</f>
        <v>laucastillo27@gmail.com</v>
      </c>
      <c r="D808" s="14"/>
      <c r="E808" s="14"/>
      <c r="F808" s="14"/>
      <c r="G808" s="14"/>
      <c r="H808" s="10"/>
      <c r="I808" s="10"/>
      <c r="J808" s="10"/>
      <c r="K808" s="10"/>
      <c r="L808" s="10"/>
      <c r="M808" s="15">
        <v>42309</v>
      </c>
      <c r="N808" s="14"/>
      <c r="O808" s="14"/>
      <c r="P808" s="14"/>
    </row>
    <row r="809" spans="1:17" ht="14.4">
      <c r="A809" s="6" t="s">
        <v>1248</v>
      </c>
      <c r="B809" s="7"/>
      <c r="C809" s="7"/>
      <c r="H809" s="17" t="s">
        <v>19</v>
      </c>
      <c r="I809" s="11"/>
      <c r="J809" s="11"/>
      <c r="K809" s="11"/>
      <c r="L809" s="11"/>
    </row>
    <row r="810" spans="1:17" ht="14.4">
      <c r="A810" s="10" t="s">
        <v>1249</v>
      </c>
      <c r="B810" s="17" t="s">
        <v>1250</v>
      </c>
      <c r="C810" s="17" t="s">
        <v>1251</v>
      </c>
      <c r="D810" s="49">
        <v>43421</v>
      </c>
      <c r="H810" s="22"/>
      <c r="I810" s="11"/>
      <c r="J810" s="11"/>
      <c r="K810" s="11"/>
      <c r="L810" s="11"/>
      <c r="P810" s="14"/>
    </row>
    <row r="811" spans="1:17" ht="14.4">
      <c r="A811" s="6" t="s">
        <v>1252</v>
      </c>
      <c r="B811" s="7"/>
      <c r="C811" s="7"/>
      <c r="H811" s="9"/>
      <c r="I811" s="11"/>
      <c r="J811" s="11"/>
      <c r="K811" s="11"/>
      <c r="L811" s="11"/>
      <c r="Q811" s="16">
        <v>45833</v>
      </c>
    </row>
    <row r="812" spans="1:17" ht="14.4">
      <c r="A812" s="7" t="s">
        <v>1253</v>
      </c>
      <c r="B812" s="7"/>
      <c r="C812" s="7" t="s">
        <v>1254</v>
      </c>
      <c r="H812" s="17" t="s">
        <v>20</v>
      </c>
      <c r="I812" s="11"/>
      <c r="J812" s="11"/>
      <c r="K812" s="11"/>
      <c r="L812" s="11"/>
    </row>
    <row r="813" spans="1:17" ht="14.4">
      <c r="A813" s="7" t="s">
        <v>1253</v>
      </c>
      <c r="B813" s="7"/>
      <c r="C813" s="7" t="s">
        <v>1254</v>
      </c>
      <c r="H813" s="9"/>
      <c r="I813" s="10" t="s">
        <v>35</v>
      </c>
      <c r="J813" s="11"/>
      <c r="K813" s="11"/>
      <c r="L813" s="11"/>
    </row>
    <row r="814" spans="1:17" ht="14.4">
      <c r="A814" s="9" t="s">
        <v>1253</v>
      </c>
      <c r="B814" s="53"/>
      <c r="C814" s="6" t="s">
        <v>1254</v>
      </c>
      <c r="H814" s="9"/>
      <c r="I814" s="11"/>
      <c r="J814" s="10" t="s">
        <v>67</v>
      </c>
      <c r="K814" s="11"/>
      <c r="L814" s="11"/>
    </row>
    <row r="815" spans="1:17" ht="14.4">
      <c r="A815" s="6" t="s">
        <v>1255</v>
      </c>
      <c r="B815" s="7"/>
      <c r="C815" s="7"/>
      <c r="H815" s="9" t="s">
        <v>82</v>
      </c>
      <c r="I815" s="11"/>
      <c r="J815" s="11"/>
      <c r="K815" s="11"/>
      <c r="L815" s="11"/>
    </row>
    <row r="816" spans="1:17" ht="14.4">
      <c r="A816" s="7" t="s">
        <v>1256</v>
      </c>
      <c r="B816" s="7"/>
      <c r="C816" s="7" t="s">
        <v>1257</v>
      </c>
      <c r="H816" s="17" t="s">
        <v>20</v>
      </c>
      <c r="I816" s="11"/>
      <c r="J816" s="11"/>
      <c r="K816" s="11"/>
      <c r="L816" s="11"/>
    </row>
    <row r="817" spans="1:17" ht="14.4">
      <c r="A817" s="13" t="s">
        <v>1258</v>
      </c>
      <c r="B817" s="13">
        <v>1534091921</v>
      </c>
      <c r="C817" s="13" t="s">
        <v>1259</v>
      </c>
      <c r="D817" s="14"/>
      <c r="E817" s="14"/>
      <c r="F817" s="14"/>
      <c r="G817" s="15">
        <v>41852</v>
      </c>
      <c r="H817" s="10"/>
      <c r="I817" s="10"/>
      <c r="J817" s="10"/>
      <c r="K817" s="10"/>
      <c r="L817" s="10"/>
      <c r="M817" s="14"/>
      <c r="N817" s="14"/>
      <c r="O817" s="14"/>
    </row>
    <row r="818" spans="1:17" ht="14.4">
      <c r="A818" s="6" t="s">
        <v>1260</v>
      </c>
      <c r="B818" s="32"/>
      <c r="C818" s="6" t="s">
        <v>1261</v>
      </c>
      <c r="H818" s="22"/>
      <c r="I818" s="10" t="s">
        <v>268</v>
      </c>
      <c r="J818" s="17" t="s">
        <v>269</v>
      </c>
      <c r="K818" s="11"/>
      <c r="L818" s="11"/>
    </row>
    <row r="819" spans="1:17" ht="14.4">
      <c r="A819" s="6" t="s">
        <v>1260</v>
      </c>
      <c r="B819" s="6"/>
      <c r="C819" s="6" t="s">
        <v>1261</v>
      </c>
      <c r="H819" s="9"/>
      <c r="I819" s="11"/>
      <c r="J819" s="11"/>
      <c r="K819" s="11" t="s">
        <v>159</v>
      </c>
      <c r="L819" s="11"/>
    </row>
    <row r="820" spans="1:17" ht="14.4">
      <c r="A820" s="6" t="s">
        <v>1262</v>
      </c>
      <c r="B820" s="8" t="s">
        <v>1263</v>
      </c>
      <c r="C820" s="6" t="s">
        <v>1264</v>
      </c>
      <c r="H820" s="69" t="s">
        <v>269</v>
      </c>
      <c r="I820" s="11" t="s">
        <v>110</v>
      </c>
      <c r="J820" s="11"/>
      <c r="K820" s="11"/>
      <c r="L820" s="11"/>
    </row>
    <row r="821" spans="1:17" ht="14.4">
      <c r="A821" s="6" t="s">
        <v>1262</v>
      </c>
      <c r="B821" s="7"/>
      <c r="C821" s="6" t="s">
        <v>1264</v>
      </c>
      <c r="H821" s="22"/>
      <c r="I821" s="11"/>
      <c r="J821" s="35">
        <v>45252</v>
      </c>
      <c r="K821" s="11"/>
      <c r="L821" s="11"/>
    </row>
    <row r="822" spans="1:17" ht="14.4">
      <c r="A822" s="6" t="s">
        <v>1265</v>
      </c>
      <c r="B822" s="7"/>
      <c r="C822" s="6" t="s">
        <v>1266</v>
      </c>
      <c r="H822" s="40">
        <v>45252</v>
      </c>
      <c r="I822" s="11" t="s">
        <v>101</v>
      </c>
      <c r="J822" s="11"/>
      <c r="K822" s="11"/>
      <c r="L822" s="11"/>
    </row>
    <row r="823" spans="1:17" ht="14.4">
      <c r="A823" s="6" t="s">
        <v>1265</v>
      </c>
      <c r="B823" s="6"/>
      <c r="C823" s="6" t="s">
        <v>1266</v>
      </c>
      <c r="H823" s="9"/>
      <c r="I823" s="9" t="s">
        <v>109</v>
      </c>
      <c r="J823" s="11"/>
      <c r="K823" s="11"/>
      <c r="L823" s="11"/>
    </row>
    <row r="824" spans="1:17" ht="14.4">
      <c r="A824" s="6" t="s">
        <v>1267</v>
      </c>
      <c r="B824" s="7"/>
      <c r="C824" s="6" t="s">
        <v>1268</v>
      </c>
      <c r="H824" s="6" t="s">
        <v>34</v>
      </c>
      <c r="I824" s="11"/>
      <c r="J824" s="11"/>
      <c r="K824" s="11"/>
      <c r="L824" s="11"/>
    </row>
    <row r="825" spans="1:17" ht="14.4">
      <c r="A825" s="6" t="s">
        <v>1267</v>
      </c>
      <c r="B825" s="6"/>
      <c r="C825" s="6" t="s">
        <v>1268</v>
      </c>
      <c r="H825" s="9" t="s">
        <v>109</v>
      </c>
      <c r="I825" s="11"/>
      <c r="J825" s="11"/>
      <c r="K825" s="11"/>
      <c r="L825" s="11"/>
    </row>
    <row r="826" spans="1:17" ht="14.4">
      <c r="A826" s="6" t="s">
        <v>1267</v>
      </c>
      <c r="B826" s="6"/>
      <c r="C826" s="6" t="s">
        <v>1268</v>
      </c>
      <c r="H826" s="9"/>
      <c r="I826" s="11"/>
      <c r="J826" s="11" t="s">
        <v>159</v>
      </c>
      <c r="K826" s="11"/>
      <c r="L826" s="11"/>
    </row>
    <row r="827" spans="1:17" ht="14.4">
      <c r="A827" s="6" t="s">
        <v>1269</v>
      </c>
      <c r="B827" s="7"/>
      <c r="C827" s="6"/>
      <c r="H827" s="9" t="s">
        <v>49</v>
      </c>
      <c r="I827" s="10" t="s">
        <v>50</v>
      </c>
      <c r="J827" s="11"/>
      <c r="K827" s="11"/>
      <c r="L827" s="11"/>
    </row>
    <row r="828" spans="1:17" ht="14.4">
      <c r="A828" s="6" t="s">
        <v>1269</v>
      </c>
      <c r="B828" s="7"/>
      <c r="C828" s="6"/>
      <c r="H828" s="9"/>
      <c r="I828" s="11"/>
      <c r="J828" s="10" t="s">
        <v>51</v>
      </c>
      <c r="K828" s="11"/>
      <c r="L828" s="11"/>
    </row>
    <row r="829" spans="1:17" ht="14.4">
      <c r="A829" s="6" t="s">
        <v>1270</v>
      </c>
      <c r="B829" s="7"/>
      <c r="C829" s="6" t="s">
        <v>1271</v>
      </c>
      <c r="H829" s="17" t="s">
        <v>19</v>
      </c>
      <c r="I829" s="11"/>
      <c r="J829" s="11"/>
      <c r="K829" s="11"/>
      <c r="L829" s="11"/>
    </row>
    <row r="830" spans="1:17" ht="14.4">
      <c r="A830" s="6" t="s">
        <v>1272</v>
      </c>
      <c r="B830" s="7"/>
      <c r="C830" s="7"/>
      <c r="H830" s="9"/>
      <c r="I830" s="11"/>
      <c r="J830" s="11"/>
      <c r="K830" s="11"/>
      <c r="L830" s="11"/>
      <c r="Q830" s="16">
        <v>45713</v>
      </c>
    </row>
    <row r="831" spans="1:17" ht="14.4">
      <c r="A831" s="14" t="s">
        <v>1273</v>
      </c>
      <c r="B831" s="13" t="s">
        <v>1274</v>
      </c>
      <c r="C831" s="19" t="str">
        <f>HYPERLINK("mailto:leandronicolas@gmail.com","leandronicolas@gmail.com")</f>
        <v>leandronicolas@gmail.com</v>
      </c>
      <c r="D831" s="14"/>
      <c r="E831" s="14"/>
      <c r="F831" s="14"/>
      <c r="G831" s="14"/>
      <c r="H831" s="20">
        <v>41456</v>
      </c>
      <c r="I831" s="10"/>
      <c r="J831" s="10"/>
      <c r="K831" s="10"/>
      <c r="L831" s="10"/>
      <c r="M831" s="14"/>
      <c r="N831" s="14"/>
      <c r="O831" s="14"/>
    </row>
    <row r="832" spans="1:17" ht="14.4">
      <c r="A832" s="53" t="s">
        <v>1275</v>
      </c>
      <c r="B832" s="62">
        <v>1561305765</v>
      </c>
      <c r="C832" s="25" t="s">
        <v>1276</v>
      </c>
      <c r="D832" s="21" t="s">
        <v>355</v>
      </c>
      <c r="H832" s="22"/>
      <c r="I832" s="11"/>
      <c r="J832" s="11"/>
      <c r="K832" s="11"/>
      <c r="L832" s="11"/>
      <c r="P832" s="14"/>
    </row>
    <row r="833" spans="1:17" ht="14.4">
      <c r="A833" s="14" t="s">
        <v>1277</v>
      </c>
      <c r="B833" s="14"/>
      <c r="C833" s="19" t="str">
        <f>HYPERLINK("mailto:leandrotesta.ds@gmail.com","leandrotesta.ds@gmail.com")</f>
        <v>leandrotesta.ds@gmail.com</v>
      </c>
      <c r="D833" s="14"/>
      <c r="E833" s="15">
        <v>41306</v>
      </c>
      <c r="F833" s="14"/>
      <c r="G833" s="14"/>
      <c r="H833" s="10"/>
      <c r="I833" s="10"/>
      <c r="J833" s="10"/>
      <c r="K833" s="10"/>
      <c r="L833" s="10"/>
      <c r="M833" s="14"/>
      <c r="N833" s="14"/>
      <c r="O833" s="14"/>
      <c r="P833" s="14"/>
    </row>
    <row r="834" spans="1:17" ht="14.4">
      <c r="A834" s="9" t="s">
        <v>1278</v>
      </c>
      <c r="B834" s="7"/>
      <c r="C834" s="6"/>
      <c r="H834" s="9" t="s">
        <v>29</v>
      </c>
      <c r="I834" s="11"/>
      <c r="J834" s="11"/>
      <c r="K834" s="11"/>
      <c r="L834" s="11"/>
    </row>
    <row r="835" spans="1:17" ht="14.4">
      <c r="A835" s="6" t="s">
        <v>1279</v>
      </c>
      <c r="B835" s="8">
        <v>1134702025</v>
      </c>
      <c r="C835" s="6" t="s">
        <v>1280</v>
      </c>
      <c r="H835" s="69" t="s">
        <v>269</v>
      </c>
      <c r="I835" s="11"/>
      <c r="J835" s="11"/>
      <c r="K835" s="11"/>
      <c r="L835" s="11"/>
    </row>
    <row r="836" spans="1:17" ht="14.4">
      <c r="A836" s="14" t="s">
        <v>1281</v>
      </c>
      <c r="B836" s="13">
        <v>1569830100</v>
      </c>
      <c r="C836" s="14" t="s">
        <v>1282</v>
      </c>
      <c r="D836" s="14"/>
      <c r="E836" s="49">
        <v>42903</v>
      </c>
      <c r="F836" s="14"/>
      <c r="G836" s="14"/>
      <c r="H836" s="10"/>
      <c r="I836" s="10"/>
      <c r="J836" s="10"/>
      <c r="K836" s="10"/>
      <c r="L836" s="10"/>
      <c r="M836" s="14"/>
      <c r="N836" s="14"/>
      <c r="O836" s="14"/>
      <c r="P836" s="14"/>
    </row>
    <row r="837" spans="1:17" ht="14.4">
      <c r="A837" s="6" t="s">
        <v>1283</v>
      </c>
      <c r="B837" s="7"/>
      <c r="C837" s="92" t="s">
        <v>1284</v>
      </c>
      <c r="H837" s="22"/>
      <c r="I837" s="11" t="s">
        <v>101</v>
      </c>
      <c r="J837" s="11"/>
      <c r="K837" s="11" t="s">
        <v>110</v>
      </c>
      <c r="L837" s="11"/>
    </row>
    <row r="838" spans="1:17" ht="14.4">
      <c r="A838" s="6" t="s">
        <v>1283</v>
      </c>
      <c r="B838" s="7"/>
      <c r="C838" s="6"/>
      <c r="H838" s="9"/>
      <c r="I838" s="11"/>
      <c r="J838" s="11"/>
      <c r="K838" s="11"/>
      <c r="L838" s="11"/>
      <c r="Q838" s="16">
        <v>45985</v>
      </c>
    </row>
    <row r="839" spans="1:17" ht="14.4">
      <c r="A839" s="14" t="s">
        <v>1285</v>
      </c>
      <c r="B839" s="14" t="s">
        <v>1286</v>
      </c>
      <c r="C839" s="19" t="str">
        <f>HYPERLINK("mailto:leoracosta@gmail.com","leoracosta@gmail.com")</f>
        <v>leoracosta@gmail.com</v>
      </c>
      <c r="D839" s="14"/>
      <c r="E839" s="14"/>
      <c r="F839" s="15">
        <v>40787</v>
      </c>
      <c r="G839" s="14"/>
      <c r="H839" s="10"/>
      <c r="I839" s="10"/>
      <c r="J839" s="10"/>
      <c r="K839" s="10"/>
      <c r="L839" s="10"/>
      <c r="M839" s="14"/>
      <c r="N839" s="14"/>
      <c r="O839" s="14"/>
      <c r="P839" s="14"/>
    </row>
    <row r="840" spans="1:17" ht="14.4">
      <c r="A840" s="6" t="s">
        <v>1287</v>
      </c>
      <c r="B840" s="7"/>
      <c r="C840" s="7"/>
      <c r="H840" s="9" t="s">
        <v>65</v>
      </c>
      <c r="I840" s="11"/>
      <c r="J840" s="11"/>
      <c r="K840" s="11"/>
      <c r="L840" s="11"/>
    </row>
    <row r="841" spans="1:17" ht="14.4">
      <c r="A841" s="6" t="s">
        <v>1287</v>
      </c>
      <c r="B841" s="7"/>
      <c r="C841" s="7"/>
      <c r="H841" s="9"/>
      <c r="I841" s="11" t="s">
        <v>22</v>
      </c>
      <c r="J841" s="11"/>
      <c r="K841" s="11"/>
      <c r="L841" s="11"/>
    </row>
    <row r="842" spans="1:17" ht="14.4">
      <c r="A842" s="9" t="s">
        <v>1287</v>
      </c>
      <c r="B842" s="7"/>
      <c r="C842" s="7"/>
      <c r="H842" s="9"/>
      <c r="I842" s="11"/>
      <c r="J842" s="11" t="s">
        <v>24</v>
      </c>
      <c r="K842" s="11"/>
      <c r="L842" s="11"/>
    </row>
    <row r="843" spans="1:17" ht="14.4">
      <c r="A843" s="6" t="s">
        <v>1288</v>
      </c>
      <c r="B843" s="7"/>
      <c r="C843" s="7"/>
      <c r="H843" s="9" t="s">
        <v>67</v>
      </c>
      <c r="I843" s="11"/>
      <c r="J843" s="11"/>
      <c r="K843" s="11"/>
      <c r="L843" s="11"/>
    </row>
    <row r="844" spans="1:17" ht="14.4">
      <c r="A844" s="9" t="s">
        <v>1288</v>
      </c>
      <c r="B844" s="7"/>
      <c r="C844" s="7"/>
      <c r="H844" s="9"/>
      <c r="I844" s="10" t="s">
        <v>68</v>
      </c>
      <c r="J844" s="11"/>
      <c r="K844" s="11"/>
      <c r="L844" s="11"/>
    </row>
    <row r="845" spans="1:17" ht="14.4">
      <c r="A845" s="6" t="s">
        <v>1289</v>
      </c>
      <c r="B845" s="7"/>
      <c r="C845" s="6" t="s">
        <v>1290</v>
      </c>
      <c r="H845" s="22"/>
      <c r="I845" s="11" t="s">
        <v>34</v>
      </c>
      <c r="J845" s="11"/>
      <c r="K845" s="11"/>
      <c r="L845" s="11"/>
    </row>
    <row r="846" spans="1:17" ht="14.4">
      <c r="A846" s="6" t="s">
        <v>1289</v>
      </c>
      <c r="B846" s="7"/>
      <c r="C846" s="6" t="s">
        <v>1290</v>
      </c>
      <c r="H846" s="9"/>
      <c r="I846" s="9" t="s">
        <v>109</v>
      </c>
      <c r="J846" s="11"/>
      <c r="K846" s="11"/>
      <c r="L846" s="11"/>
    </row>
    <row r="847" spans="1:17" ht="14.4">
      <c r="A847" s="14" t="s">
        <v>1291</v>
      </c>
      <c r="B847" s="14"/>
      <c r="C847" s="19" t="str">
        <f>HYPERLINK("mailto:leticiacaracciolo79@gmail.com","leticiacaracciolo79@gmail.com")</f>
        <v>leticiacaracciolo79@gmail.com</v>
      </c>
      <c r="D847" s="14"/>
      <c r="E847" s="15">
        <v>41456</v>
      </c>
      <c r="F847" s="14"/>
      <c r="G847" s="14"/>
      <c r="H847" s="10"/>
      <c r="I847" s="10"/>
      <c r="J847" s="10"/>
      <c r="K847" s="10"/>
      <c r="L847" s="10"/>
      <c r="M847" s="14"/>
      <c r="N847" s="14"/>
      <c r="O847" s="14"/>
      <c r="P847" s="14"/>
    </row>
    <row r="848" spans="1:17" ht="14.4">
      <c r="A848" s="6" t="s">
        <v>1292</v>
      </c>
      <c r="B848" s="27" t="s">
        <v>1293</v>
      </c>
      <c r="C848" s="54" t="s">
        <v>1294</v>
      </c>
      <c r="H848" s="30" t="s">
        <v>73</v>
      </c>
      <c r="I848" s="11"/>
      <c r="J848" s="10"/>
      <c r="K848" s="10" t="s">
        <v>39</v>
      </c>
      <c r="L848" s="10"/>
      <c r="P848" s="14"/>
    </row>
    <row r="849" spans="1:17" ht="14.4">
      <c r="A849" s="6" t="s">
        <v>1292</v>
      </c>
      <c r="B849" s="7"/>
      <c r="C849" s="7"/>
      <c r="H849" s="22"/>
      <c r="I849" s="43" t="s">
        <v>295</v>
      </c>
      <c r="J849" s="11"/>
      <c r="K849" s="11"/>
      <c r="L849" s="11"/>
    </row>
    <row r="850" spans="1:17" ht="14.4">
      <c r="A850" s="6" t="s">
        <v>1292</v>
      </c>
      <c r="B850" s="7"/>
      <c r="C850" s="7"/>
      <c r="H850" s="9"/>
      <c r="I850" s="41">
        <v>45253</v>
      </c>
      <c r="J850" s="11"/>
      <c r="K850" s="11"/>
      <c r="L850" s="11"/>
    </row>
    <row r="851" spans="1:17" ht="14.4">
      <c r="A851" s="6" t="s">
        <v>1295</v>
      </c>
      <c r="B851" s="8">
        <v>1133870303</v>
      </c>
      <c r="C851" s="6" t="s">
        <v>1296</v>
      </c>
      <c r="H851" s="43" t="s">
        <v>143</v>
      </c>
      <c r="I851" s="11"/>
      <c r="J851" s="11"/>
      <c r="K851" s="11"/>
      <c r="L851" s="11"/>
    </row>
    <row r="852" spans="1:17" ht="14.4">
      <c r="A852" s="6" t="s">
        <v>1297</v>
      </c>
      <c r="B852" s="7"/>
      <c r="C852" s="7"/>
      <c r="H852" s="9"/>
      <c r="I852" s="11"/>
      <c r="J852" s="11"/>
      <c r="K852" s="11"/>
      <c r="L852" s="11"/>
      <c r="Q852" s="16">
        <v>45713</v>
      </c>
    </row>
    <row r="853" spans="1:17" ht="14.4">
      <c r="A853" s="6" t="s">
        <v>1298</v>
      </c>
      <c r="B853" s="7"/>
      <c r="C853" s="7"/>
      <c r="H853" s="9" t="s">
        <v>123</v>
      </c>
      <c r="I853" s="11"/>
      <c r="J853" s="11"/>
      <c r="K853" s="11"/>
      <c r="L853" s="11"/>
    </row>
    <row r="854" spans="1:17" ht="14.4">
      <c r="A854" s="6" t="s">
        <v>1298</v>
      </c>
      <c r="B854" s="7"/>
      <c r="C854" s="6"/>
      <c r="H854" s="9" t="s">
        <v>49</v>
      </c>
      <c r="I854" s="10" t="s">
        <v>50</v>
      </c>
      <c r="J854" s="11"/>
      <c r="K854" s="11"/>
      <c r="L854" s="11"/>
    </row>
    <row r="855" spans="1:17" ht="14.4">
      <c r="A855" s="6" t="s">
        <v>1298</v>
      </c>
      <c r="B855" s="7"/>
      <c r="C855" s="6"/>
      <c r="H855" s="9"/>
      <c r="I855" s="11"/>
      <c r="J855" s="10" t="s">
        <v>51</v>
      </c>
      <c r="K855" s="11"/>
      <c r="L855" s="11"/>
    </row>
    <row r="856" spans="1:17" ht="14.4">
      <c r="A856" s="6" t="s">
        <v>1299</v>
      </c>
      <c r="B856" s="8" t="s">
        <v>1300</v>
      </c>
      <c r="C856" s="6" t="s">
        <v>1301</v>
      </c>
      <c r="H856" s="9" t="s">
        <v>94</v>
      </c>
      <c r="I856" s="11"/>
      <c r="J856" s="11"/>
      <c r="K856" s="11"/>
      <c r="L856" s="11"/>
    </row>
    <row r="857" spans="1:17" ht="14.4">
      <c r="A857" s="6" t="s">
        <v>1299</v>
      </c>
      <c r="B857" s="7"/>
      <c r="C857" s="6"/>
      <c r="H857" s="9" t="s">
        <v>94</v>
      </c>
      <c r="I857" s="11"/>
      <c r="J857" s="11"/>
      <c r="K857" s="11"/>
      <c r="L857" s="11"/>
    </row>
    <row r="858" spans="1:17" ht="14.4">
      <c r="A858" s="14" t="s">
        <v>1302</v>
      </c>
      <c r="B858" s="13">
        <v>1531440928</v>
      </c>
      <c r="C858" s="14" t="s">
        <v>1303</v>
      </c>
      <c r="D858" s="15">
        <v>40848</v>
      </c>
      <c r="E858" s="14"/>
      <c r="F858" s="14"/>
      <c r="G858" s="14"/>
      <c r="H858" s="10"/>
      <c r="I858" s="10"/>
      <c r="J858" s="10"/>
      <c r="K858" s="10"/>
      <c r="L858" s="10"/>
      <c r="M858" s="14"/>
      <c r="N858" s="14"/>
      <c r="O858" s="14"/>
      <c r="P858" s="14"/>
    </row>
    <row r="859" spans="1:17" ht="14.4">
      <c r="A859" s="6" t="s">
        <v>1304</v>
      </c>
      <c r="B859" s="6"/>
      <c r="C859" s="53"/>
      <c r="H859" s="53" t="s">
        <v>730</v>
      </c>
      <c r="I859" s="10" t="s">
        <v>948</v>
      </c>
      <c r="J859" s="11"/>
      <c r="K859" s="11"/>
      <c r="L859" s="11"/>
    </row>
    <row r="860" spans="1:17" ht="14.4">
      <c r="A860" s="6" t="s">
        <v>1305</v>
      </c>
      <c r="B860" s="7"/>
      <c r="C860" s="6"/>
      <c r="H860" s="9" t="s">
        <v>30</v>
      </c>
      <c r="I860" s="10" t="s">
        <v>31</v>
      </c>
      <c r="J860" s="11"/>
      <c r="K860" s="11"/>
      <c r="L860" s="11"/>
    </row>
    <row r="861" spans="1:17" ht="14.4">
      <c r="A861" s="9" t="s">
        <v>1305</v>
      </c>
      <c r="B861" s="7"/>
      <c r="C861" s="6"/>
      <c r="H861" s="9"/>
      <c r="I861" s="11"/>
      <c r="J861" s="10" t="s">
        <v>49</v>
      </c>
      <c r="K861" s="11"/>
      <c r="L861" s="11"/>
    </row>
    <row r="862" spans="1:17" ht="14.4">
      <c r="A862" s="13" t="s">
        <v>1306</v>
      </c>
      <c r="B862" s="13">
        <v>1158227835</v>
      </c>
      <c r="C862" s="13" t="s">
        <v>1307</v>
      </c>
      <c r="D862" s="14"/>
      <c r="E862" s="14"/>
      <c r="F862" s="21" t="s">
        <v>135</v>
      </c>
      <c r="G862" s="14"/>
      <c r="H862" s="10"/>
      <c r="I862" s="10"/>
      <c r="J862" s="10"/>
      <c r="K862" s="10"/>
      <c r="L862" s="10"/>
      <c r="M862" s="14"/>
      <c r="N862" s="14"/>
      <c r="O862" s="14"/>
      <c r="P862" s="14"/>
    </row>
    <row r="863" spans="1:17" ht="14.4">
      <c r="A863" s="14" t="s">
        <v>1308</v>
      </c>
      <c r="B863" s="10" t="s">
        <v>1309</v>
      </c>
      <c r="C863" s="14" t="s">
        <v>1310</v>
      </c>
      <c r="D863" s="14"/>
      <c r="E863" s="15">
        <v>42248</v>
      </c>
      <c r="F863" s="14"/>
      <c r="G863" s="14"/>
      <c r="H863" s="10"/>
      <c r="I863" s="10"/>
      <c r="J863" s="10"/>
      <c r="K863" s="10"/>
      <c r="L863" s="10"/>
      <c r="M863" s="14"/>
      <c r="N863" s="14"/>
      <c r="O863" s="14"/>
    </row>
    <row r="864" spans="1:17" ht="14.4">
      <c r="A864" s="6" t="s">
        <v>1311</v>
      </c>
      <c r="B864" s="8">
        <v>1132096909</v>
      </c>
      <c r="C864" s="7"/>
      <c r="H864" s="9" t="s">
        <v>94</v>
      </c>
      <c r="I864" s="11"/>
      <c r="J864" s="11"/>
      <c r="K864" s="11"/>
      <c r="L864" s="11"/>
    </row>
    <row r="865" spans="1:17" ht="14.4">
      <c r="A865" s="6" t="s">
        <v>1311</v>
      </c>
      <c r="B865" s="7"/>
      <c r="C865" s="6"/>
      <c r="H865" s="9" t="s">
        <v>94</v>
      </c>
      <c r="I865" s="11"/>
      <c r="J865" s="11"/>
      <c r="K865" s="11"/>
      <c r="L865" s="11"/>
    </row>
    <row r="866" spans="1:17" ht="14.4">
      <c r="A866" s="14" t="s">
        <v>1312</v>
      </c>
      <c r="B866" s="14" t="s">
        <v>1313</v>
      </c>
      <c r="C866" s="14" t="s">
        <v>1314</v>
      </c>
      <c r="D866" s="15">
        <v>41122</v>
      </c>
      <c r="E866" s="14"/>
      <c r="F866" s="14"/>
      <c r="G866" s="14"/>
      <c r="H866" s="10"/>
      <c r="I866" s="10"/>
      <c r="J866" s="10"/>
      <c r="K866" s="10"/>
      <c r="L866" s="10"/>
      <c r="M866" s="14"/>
      <c r="N866" s="14"/>
      <c r="O866" s="14"/>
    </row>
    <row r="867" spans="1:17" ht="14.4">
      <c r="A867" s="6" t="s">
        <v>1315</v>
      </c>
      <c r="B867" s="7"/>
      <c r="C867" s="7"/>
      <c r="H867" s="9"/>
      <c r="I867" s="11"/>
      <c r="J867" s="11"/>
      <c r="K867" s="11"/>
      <c r="L867" s="11"/>
      <c r="Q867" s="16">
        <v>45713</v>
      </c>
    </row>
    <row r="868" spans="1:17" ht="14.4">
      <c r="A868" s="6" t="s">
        <v>1316</v>
      </c>
      <c r="B868" s="8">
        <v>1163359638</v>
      </c>
      <c r="C868" s="6" t="s">
        <v>1317</v>
      </c>
      <c r="H868" s="9" t="s">
        <v>94</v>
      </c>
      <c r="I868" s="11"/>
      <c r="J868" s="11"/>
      <c r="K868" s="11"/>
      <c r="L868" s="11"/>
    </row>
    <row r="869" spans="1:17" ht="14.4">
      <c r="A869" s="6" t="s">
        <v>1316</v>
      </c>
      <c r="B869" s="7"/>
      <c r="C869" s="6"/>
      <c r="H869" s="9" t="s">
        <v>94</v>
      </c>
      <c r="I869" s="11"/>
      <c r="J869" s="11"/>
      <c r="K869" s="11"/>
      <c r="L869" s="11"/>
    </row>
    <row r="870" spans="1:17" ht="14.4">
      <c r="A870" s="7" t="s">
        <v>1318</v>
      </c>
      <c r="B870" s="7"/>
      <c r="C870" s="7"/>
      <c r="H870" s="9"/>
      <c r="I870" s="10" t="s">
        <v>35</v>
      </c>
      <c r="J870" s="11"/>
      <c r="K870" s="11"/>
      <c r="L870" s="11"/>
    </row>
    <row r="871" spans="1:17" ht="14.4">
      <c r="A871" s="9" t="s">
        <v>1318</v>
      </c>
      <c r="B871" s="53"/>
      <c r="C871" s="7"/>
      <c r="H871" s="9"/>
      <c r="I871" s="11"/>
      <c r="J871" s="10" t="s">
        <v>67</v>
      </c>
      <c r="K871" s="11"/>
      <c r="L871" s="11"/>
    </row>
    <row r="872" spans="1:17" ht="14.4">
      <c r="A872" s="9" t="s">
        <v>1318</v>
      </c>
      <c r="B872" s="7"/>
      <c r="C872" s="7"/>
      <c r="H872" s="9"/>
      <c r="I872" s="11"/>
      <c r="J872" s="11"/>
      <c r="K872" s="17" t="s">
        <v>68</v>
      </c>
      <c r="L872" s="11"/>
    </row>
    <row r="873" spans="1:17" ht="14.4">
      <c r="A873" s="6" t="s">
        <v>1319</v>
      </c>
      <c r="B873" s="33">
        <v>1535949865</v>
      </c>
      <c r="C873" s="62" t="s">
        <v>1320</v>
      </c>
      <c r="H873" s="23" t="s">
        <v>132</v>
      </c>
      <c r="I873" s="63"/>
      <c r="J873" s="63"/>
      <c r="K873" s="63"/>
      <c r="L873" s="63"/>
    </row>
    <row r="874" spans="1:17" ht="14.4">
      <c r="A874" s="13" t="s">
        <v>1321</v>
      </c>
      <c r="B874" s="45" t="str">
        <f>HYPERLINK("tel:115488%203756","115488 3756")</f>
        <v>115488 3756</v>
      </c>
      <c r="C874" s="13" t="s">
        <v>1322</v>
      </c>
      <c r="D874" s="14"/>
      <c r="E874" s="15">
        <v>41821</v>
      </c>
      <c r="F874" s="15"/>
      <c r="G874" s="14"/>
      <c r="H874" s="10"/>
      <c r="I874" s="10"/>
      <c r="J874" s="10"/>
      <c r="K874" s="10"/>
      <c r="L874" s="10"/>
      <c r="M874" s="14"/>
      <c r="N874" s="14"/>
      <c r="O874" s="14"/>
      <c r="P874" s="14"/>
    </row>
    <row r="875" spans="1:17" ht="14.4">
      <c r="A875" s="6" t="s">
        <v>1323</v>
      </c>
      <c r="B875" s="62">
        <v>1522406612</v>
      </c>
      <c r="C875" s="62" t="s">
        <v>1324</v>
      </c>
      <c r="D875" s="14"/>
      <c r="E875" s="14"/>
      <c r="F875" s="14"/>
      <c r="G875" s="14"/>
      <c r="H875" s="23" t="s">
        <v>132</v>
      </c>
      <c r="I875" s="63"/>
      <c r="J875" s="63"/>
      <c r="K875" s="63"/>
      <c r="L875" s="63"/>
      <c r="P875" s="14"/>
    </row>
    <row r="876" spans="1:17" ht="14.4">
      <c r="A876" s="6" t="s">
        <v>1325</v>
      </c>
      <c r="B876" s="7"/>
      <c r="C876" s="7"/>
      <c r="H876" s="9" t="s">
        <v>82</v>
      </c>
      <c r="I876" s="11"/>
      <c r="J876" s="11"/>
      <c r="K876" s="11"/>
      <c r="L876" s="11"/>
    </row>
    <row r="877" spans="1:17" ht="14.4">
      <c r="A877" s="9" t="s">
        <v>1325</v>
      </c>
      <c r="B877" s="7"/>
      <c r="C877" s="7"/>
      <c r="H877" s="9"/>
      <c r="I877" s="35">
        <v>45713</v>
      </c>
      <c r="J877" s="11"/>
      <c r="K877" s="11"/>
      <c r="L877" s="11"/>
    </row>
    <row r="878" spans="1:17" ht="14.4">
      <c r="A878" s="6" t="s">
        <v>1325</v>
      </c>
      <c r="B878" s="7"/>
      <c r="C878" s="7"/>
      <c r="H878" s="9"/>
      <c r="I878" s="11"/>
      <c r="J878" s="11"/>
      <c r="K878" s="11" t="s">
        <v>22</v>
      </c>
      <c r="L878" s="11"/>
    </row>
    <row r="879" spans="1:17" ht="14.4">
      <c r="A879" s="6" t="s">
        <v>1326</v>
      </c>
      <c r="B879" s="8">
        <v>3865565331</v>
      </c>
      <c r="C879" s="6" t="s">
        <v>1327</v>
      </c>
      <c r="D879" s="14" t="s">
        <v>100</v>
      </c>
      <c r="H879" s="22"/>
      <c r="I879" s="11"/>
      <c r="J879" s="11"/>
      <c r="K879" s="11"/>
      <c r="L879" s="11"/>
    </row>
    <row r="880" spans="1:17" ht="14.4">
      <c r="A880" s="9" t="s">
        <v>1328</v>
      </c>
      <c r="B880" s="27" t="s">
        <v>1329</v>
      </c>
      <c r="C880" s="17" t="s">
        <v>1330</v>
      </c>
      <c r="E880" s="21" t="s">
        <v>372</v>
      </c>
      <c r="H880" s="22"/>
      <c r="I880" s="11"/>
      <c r="J880" s="11"/>
      <c r="K880" s="11"/>
      <c r="L880" s="11"/>
      <c r="P880" s="14"/>
    </row>
    <row r="881" spans="1:16" ht="14.4">
      <c r="A881" s="14" t="s">
        <v>1331</v>
      </c>
      <c r="B881" s="13">
        <v>1136888030</v>
      </c>
      <c r="C881" s="19" t="str">
        <f>HYPERLINK("mailto:luli.gconde@gmail.com","luli.gconde@gmail.com")</f>
        <v>luli.gconde@gmail.com</v>
      </c>
      <c r="D881" s="15">
        <v>41000</v>
      </c>
      <c r="E881" s="14"/>
      <c r="F881" s="15">
        <v>41913</v>
      </c>
      <c r="G881" s="14"/>
      <c r="H881" s="10"/>
      <c r="I881" s="10"/>
      <c r="J881" s="10"/>
      <c r="K881" s="10"/>
      <c r="L881" s="10"/>
      <c r="M881" s="14"/>
      <c r="N881" s="14"/>
      <c r="O881" s="14"/>
      <c r="P881" s="14"/>
    </row>
    <row r="882" spans="1:16" ht="14.4">
      <c r="A882" s="6" t="s">
        <v>1332</v>
      </c>
      <c r="B882" s="7"/>
      <c r="C882" s="6"/>
      <c r="H882" s="9" t="s">
        <v>49</v>
      </c>
      <c r="I882" s="10" t="s">
        <v>50</v>
      </c>
      <c r="J882" s="11"/>
      <c r="K882" s="11"/>
      <c r="L882" s="11"/>
    </row>
    <row r="883" spans="1:16" ht="14.4">
      <c r="A883" s="10" t="s">
        <v>1333</v>
      </c>
      <c r="B883" s="21">
        <v>1165256725</v>
      </c>
      <c r="C883" s="14" t="s">
        <v>1334</v>
      </c>
      <c r="H883" s="30" t="s">
        <v>73</v>
      </c>
      <c r="I883" s="11"/>
      <c r="J883" s="11"/>
      <c r="K883" s="11"/>
      <c r="L883" s="11"/>
      <c r="P883" s="14"/>
    </row>
    <row r="884" spans="1:16" ht="14.4">
      <c r="A884" s="25" t="s">
        <v>1335</v>
      </c>
      <c r="B884" s="25" t="s">
        <v>1336</v>
      </c>
      <c r="C884" s="25" t="s">
        <v>1337</v>
      </c>
      <c r="D884" s="14"/>
      <c r="E884" s="14"/>
      <c r="F884" s="14"/>
      <c r="G884" s="14"/>
      <c r="H884" s="23"/>
      <c r="I884" s="63"/>
      <c r="J884" s="63"/>
      <c r="K884" s="63"/>
      <c r="L884" s="63"/>
      <c r="P884" s="14"/>
    </row>
    <row r="885" spans="1:16" ht="14.4">
      <c r="A885" s="14" t="s">
        <v>1338</v>
      </c>
      <c r="B885" s="13">
        <v>1554644004</v>
      </c>
      <c r="C885" s="13" t="s">
        <v>1339</v>
      </c>
      <c r="D885" s="15">
        <v>42856</v>
      </c>
      <c r="E885" s="14"/>
      <c r="F885" s="14"/>
      <c r="G885" s="14"/>
      <c r="H885" s="56"/>
      <c r="I885" s="10"/>
      <c r="J885" s="10"/>
      <c r="K885" s="10"/>
      <c r="L885" s="10"/>
      <c r="M885" s="14"/>
      <c r="N885" s="14"/>
      <c r="O885" s="14"/>
      <c r="P885" s="14"/>
    </row>
    <row r="886" spans="1:16" ht="14.4">
      <c r="A886" s="14" t="s">
        <v>1340</v>
      </c>
      <c r="B886" s="14"/>
      <c r="C886" s="64" t="s">
        <v>1341</v>
      </c>
      <c r="D886" s="14"/>
      <c r="E886" s="14"/>
      <c r="F886" s="14"/>
      <c r="G886" s="14"/>
      <c r="H886" s="10"/>
      <c r="I886" s="10"/>
      <c r="J886" s="10"/>
      <c r="K886" s="10"/>
      <c r="L886" s="10"/>
      <c r="M886" s="14"/>
      <c r="N886" s="14"/>
      <c r="O886" s="14"/>
      <c r="P886" s="14"/>
    </row>
    <row r="887" spans="1:16" ht="14.4">
      <c r="A887" s="13" t="s">
        <v>1342</v>
      </c>
      <c r="B887" s="13">
        <v>1547410910</v>
      </c>
      <c r="C887" s="13" t="s">
        <v>1343</v>
      </c>
      <c r="D887" s="14"/>
      <c r="F887" s="14"/>
      <c r="G887" s="14"/>
      <c r="H887" s="10"/>
      <c r="I887" s="10"/>
      <c r="J887" s="10"/>
      <c r="K887" s="10"/>
      <c r="L887" s="10"/>
      <c r="M887" s="14"/>
      <c r="N887" s="14"/>
      <c r="O887" s="14"/>
      <c r="P887" s="14"/>
    </row>
    <row r="888" spans="1:16" ht="14.4">
      <c r="A888" s="6" t="s">
        <v>1344</v>
      </c>
      <c r="B888" s="7"/>
      <c r="C888" s="7"/>
      <c r="H888" s="9"/>
      <c r="I888" s="11"/>
      <c r="J888" s="11"/>
      <c r="K888" s="11"/>
      <c r="L888" s="10" t="s">
        <v>35</v>
      </c>
    </row>
    <row r="889" spans="1:16" ht="14.4">
      <c r="A889" s="6" t="s">
        <v>1345</v>
      </c>
      <c r="B889" s="7"/>
      <c r="C889" s="6"/>
      <c r="H889" s="9" t="s">
        <v>30</v>
      </c>
      <c r="I889" s="11"/>
      <c r="J889" s="11"/>
      <c r="K889" s="11"/>
      <c r="L889" s="11"/>
    </row>
    <row r="890" spans="1:16" ht="14.4">
      <c r="A890" s="6" t="s">
        <v>1346</v>
      </c>
      <c r="B890" s="7"/>
      <c r="C890" s="6"/>
      <c r="H890" s="9" t="s">
        <v>50</v>
      </c>
      <c r="I890" s="11"/>
      <c r="J890" s="11"/>
      <c r="K890" s="11"/>
      <c r="L890" s="11"/>
    </row>
    <row r="891" spans="1:16" ht="14.4">
      <c r="A891" s="6" t="s">
        <v>1346</v>
      </c>
      <c r="B891" s="7"/>
      <c r="C891" s="6"/>
      <c r="H891" s="9" t="s">
        <v>49</v>
      </c>
      <c r="I891" s="10" t="s">
        <v>50</v>
      </c>
      <c r="J891" s="11"/>
      <c r="K891" s="11"/>
      <c r="L891" s="11"/>
    </row>
    <row r="892" spans="1:16" ht="14.4">
      <c r="A892" s="6" t="s">
        <v>1346</v>
      </c>
      <c r="B892" s="7"/>
      <c r="C892" s="6"/>
      <c r="H892" s="9"/>
      <c r="I892" s="10" t="s">
        <v>51</v>
      </c>
      <c r="J892" s="11"/>
      <c r="K892" s="11"/>
      <c r="L892" s="11"/>
    </row>
    <row r="893" spans="1:16" ht="14.4">
      <c r="A893" s="6" t="s">
        <v>1346</v>
      </c>
      <c r="B893" s="7"/>
      <c r="C893" s="6"/>
      <c r="H893" s="9"/>
      <c r="I893" s="11"/>
      <c r="J893" s="41">
        <v>45954</v>
      </c>
      <c r="K893" s="11"/>
      <c r="L893" s="11"/>
    </row>
    <row r="894" spans="1:16" ht="14.4">
      <c r="A894" s="9" t="s">
        <v>1346</v>
      </c>
      <c r="B894" s="7"/>
      <c r="C894" s="7"/>
      <c r="H894" s="9"/>
      <c r="I894" s="35">
        <v>45713</v>
      </c>
      <c r="J894" s="11"/>
      <c r="K894" s="11"/>
      <c r="L894" s="11"/>
    </row>
    <row r="895" spans="1:16" ht="14.4">
      <c r="A895" s="61" t="s">
        <v>1347</v>
      </c>
      <c r="B895" s="7"/>
      <c r="C895" s="7"/>
      <c r="H895" s="9" t="s">
        <v>75</v>
      </c>
      <c r="I895" s="11"/>
      <c r="J895" s="11"/>
      <c r="K895" s="11"/>
      <c r="L895" s="11"/>
    </row>
    <row r="896" spans="1:16" ht="14.4">
      <c r="A896" s="6" t="s">
        <v>1348</v>
      </c>
      <c r="B896" s="8">
        <v>1164462846</v>
      </c>
      <c r="C896" s="6" t="s">
        <v>1349</v>
      </c>
      <c r="H896" s="9" t="s">
        <v>94</v>
      </c>
      <c r="I896" s="11"/>
      <c r="J896" s="11"/>
      <c r="K896" s="11"/>
      <c r="L896" s="11"/>
    </row>
    <row r="897" spans="1:16" ht="14.4">
      <c r="A897" s="6" t="s">
        <v>1348</v>
      </c>
      <c r="B897" s="7"/>
      <c r="C897" s="6"/>
      <c r="H897" s="9" t="s">
        <v>94</v>
      </c>
      <c r="I897" s="11"/>
      <c r="J897" s="11"/>
      <c r="K897" s="11"/>
      <c r="L897" s="11"/>
    </row>
    <row r="898" spans="1:16" ht="14.4">
      <c r="A898" s="7" t="s">
        <v>1350</v>
      </c>
      <c r="B898" s="7"/>
      <c r="C898" s="7" t="s">
        <v>1351</v>
      </c>
      <c r="H898" s="17" t="s">
        <v>20</v>
      </c>
      <c r="I898" s="11"/>
      <c r="J898" s="11"/>
      <c r="K898" s="11"/>
      <c r="L898" s="11"/>
    </row>
    <row r="899" spans="1:16" ht="14.4">
      <c r="A899" s="6" t="s">
        <v>1352</v>
      </c>
      <c r="B899" s="7"/>
      <c r="C899" s="6" t="s">
        <v>1353</v>
      </c>
      <c r="H899" s="22"/>
      <c r="I899" s="11"/>
      <c r="J899" s="11"/>
      <c r="K899" s="11"/>
      <c r="L899" s="10" t="s">
        <v>885</v>
      </c>
    </row>
    <row r="900" spans="1:16" ht="14.4">
      <c r="A900" s="14" t="s">
        <v>1354</v>
      </c>
      <c r="B900" s="14"/>
      <c r="C900" s="10" t="s">
        <v>1355</v>
      </c>
      <c r="D900" s="14"/>
      <c r="E900" s="14"/>
      <c r="F900" s="14"/>
      <c r="G900" s="14"/>
      <c r="H900" s="23" t="s">
        <v>257</v>
      </c>
      <c r="I900" s="23" t="s">
        <v>1137</v>
      </c>
      <c r="J900" s="23"/>
      <c r="K900" s="23"/>
      <c r="L900" s="23"/>
      <c r="M900" s="14"/>
      <c r="N900" s="14"/>
      <c r="O900" s="14"/>
      <c r="P900" s="14"/>
    </row>
    <row r="901" spans="1:16" ht="14.4">
      <c r="A901" s="6" t="s">
        <v>1356</v>
      </c>
      <c r="B901" s="7"/>
      <c r="C901" s="6"/>
      <c r="H901" s="9" t="s">
        <v>49</v>
      </c>
      <c r="I901" s="10" t="s">
        <v>50</v>
      </c>
      <c r="J901" s="11"/>
      <c r="K901" s="11"/>
      <c r="L901" s="11"/>
    </row>
    <row r="902" spans="1:16" ht="14.4">
      <c r="A902" s="14" t="s">
        <v>1357</v>
      </c>
      <c r="B902" s="27" t="s">
        <v>1358</v>
      </c>
      <c r="C902" s="10" t="s">
        <v>1359</v>
      </c>
      <c r="D902" s="14"/>
      <c r="E902" s="14"/>
      <c r="F902" s="14"/>
      <c r="G902" s="6"/>
      <c r="H902" s="30" t="s">
        <v>71</v>
      </c>
      <c r="I902" s="10"/>
      <c r="J902" s="11"/>
      <c r="K902" s="11"/>
      <c r="L902" s="11"/>
      <c r="P902" s="14"/>
    </row>
    <row r="903" spans="1:16" ht="14.4">
      <c r="A903" s="7" t="s">
        <v>1360</v>
      </c>
      <c r="B903" s="7"/>
      <c r="C903" s="7"/>
      <c r="H903" s="9"/>
      <c r="I903" s="10" t="s">
        <v>35</v>
      </c>
      <c r="J903" s="11"/>
      <c r="K903" s="11"/>
      <c r="L903" s="11"/>
    </row>
    <row r="904" spans="1:16" ht="14.4">
      <c r="A904" s="14" t="s">
        <v>1361</v>
      </c>
      <c r="B904" s="14" t="s">
        <v>1362</v>
      </c>
      <c r="C904" s="19" t="str">
        <f>HYPERLINK("mailto:luisasaurus@hotmail.com","luisasaurus@hotmail.com")</f>
        <v>luisasaurus@hotmail.com</v>
      </c>
      <c r="D904" s="14"/>
      <c r="E904" s="14"/>
      <c r="F904" s="15">
        <v>40787</v>
      </c>
      <c r="G904" s="14"/>
      <c r="H904" s="10"/>
      <c r="I904" s="10"/>
      <c r="J904" s="10"/>
      <c r="K904" s="10"/>
      <c r="L904" s="10"/>
      <c r="M904" s="14"/>
      <c r="N904" s="14"/>
      <c r="O904" s="14"/>
      <c r="P904" s="14"/>
    </row>
    <row r="905" spans="1:16" ht="14.4">
      <c r="A905" s="6" t="s">
        <v>1363</v>
      </c>
      <c r="B905" s="7"/>
      <c r="C905" s="6" t="s">
        <v>1364</v>
      </c>
      <c r="H905" s="9" t="s">
        <v>67</v>
      </c>
      <c r="I905" s="11"/>
      <c r="J905" s="11"/>
      <c r="K905" s="11"/>
      <c r="L905" s="11"/>
    </row>
    <row r="906" spans="1:16" ht="14.4">
      <c r="A906" s="6" t="s">
        <v>1365</v>
      </c>
      <c r="B906" s="7"/>
      <c r="C906" s="6"/>
      <c r="H906" s="9"/>
      <c r="I906" s="11"/>
      <c r="J906" s="11"/>
      <c r="K906" s="11"/>
      <c r="L906" s="11"/>
      <c r="P906" s="7" t="s">
        <v>49</v>
      </c>
    </row>
    <row r="907" spans="1:16" ht="14.4">
      <c r="A907" s="6" t="s">
        <v>1366</v>
      </c>
      <c r="B907" s="8">
        <v>3544595929</v>
      </c>
      <c r="C907" s="6" t="s">
        <v>1367</v>
      </c>
      <c r="H907" s="6" t="s">
        <v>34</v>
      </c>
      <c r="I907" s="11"/>
      <c r="J907" s="11"/>
      <c r="K907" s="11"/>
      <c r="L907" s="11"/>
    </row>
    <row r="908" spans="1:16" ht="14.4">
      <c r="A908" s="6" t="s">
        <v>1366</v>
      </c>
      <c r="B908" s="8">
        <v>3544595929</v>
      </c>
      <c r="C908" s="6" t="s">
        <v>1367</v>
      </c>
      <c r="H908" s="9" t="s">
        <v>109</v>
      </c>
      <c r="I908" s="11"/>
      <c r="J908" s="11"/>
      <c r="K908" s="11"/>
      <c r="L908" s="11"/>
    </row>
    <row r="909" spans="1:16" ht="15.3">
      <c r="A909" s="6" t="s">
        <v>1368</v>
      </c>
      <c r="B909" s="97">
        <v>2922443871</v>
      </c>
      <c r="C909" s="98" t="s">
        <v>1369</v>
      </c>
      <c r="H909" s="22"/>
      <c r="I909" s="10" t="s">
        <v>948</v>
      </c>
      <c r="J909" s="11"/>
      <c r="K909" s="11"/>
      <c r="L909" s="11"/>
    </row>
    <row r="910" spans="1:16" ht="14.4">
      <c r="A910" s="7" t="s">
        <v>1370</v>
      </c>
      <c r="B910" s="7"/>
      <c r="C910" s="7" t="s">
        <v>1371</v>
      </c>
      <c r="H910" s="17" t="s">
        <v>20</v>
      </c>
      <c r="I910" s="11"/>
      <c r="J910" s="11"/>
      <c r="K910" s="11"/>
      <c r="L910" s="11"/>
    </row>
    <row r="911" spans="1:16" ht="14.4">
      <c r="A911" s="6" t="s">
        <v>1372</v>
      </c>
      <c r="B911" s="7"/>
      <c r="C911" s="6" t="s">
        <v>1373</v>
      </c>
      <c r="H911" s="17" t="s">
        <v>19</v>
      </c>
      <c r="I911" s="11"/>
      <c r="J911" s="11"/>
      <c r="K911" s="11"/>
      <c r="L911" s="11"/>
    </row>
    <row r="912" spans="1:16" ht="14.4">
      <c r="A912" s="6" t="s">
        <v>1372</v>
      </c>
      <c r="B912" s="6" t="s">
        <v>1374</v>
      </c>
      <c r="C912" s="6" t="s">
        <v>1373</v>
      </c>
      <c r="H912" s="9"/>
      <c r="I912" s="10" t="s">
        <v>20</v>
      </c>
      <c r="J912" s="11"/>
      <c r="K912" s="11"/>
      <c r="L912" s="11"/>
    </row>
    <row r="913" spans="1:16" ht="14.4">
      <c r="A913" s="6" t="s">
        <v>1372</v>
      </c>
      <c r="B913" s="6" t="s">
        <v>1374</v>
      </c>
      <c r="C913" s="6" t="s">
        <v>1373</v>
      </c>
      <c r="H913" s="9"/>
      <c r="I913" s="11"/>
      <c r="J913" s="10" t="s">
        <v>35</v>
      </c>
      <c r="K913" s="11"/>
      <c r="L913" s="11"/>
    </row>
    <row r="914" spans="1:16" ht="14.4">
      <c r="A914" s="6" t="s">
        <v>1372</v>
      </c>
      <c r="B914" s="7"/>
      <c r="C914" s="7"/>
      <c r="H914" s="9"/>
      <c r="I914" s="11"/>
      <c r="J914" s="11"/>
      <c r="K914" s="17" t="s">
        <v>68</v>
      </c>
      <c r="L914" s="11"/>
    </row>
    <row r="915" spans="1:16" ht="14.4">
      <c r="A915" s="6" t="s">
        <v>1372</v>
      </c>
      <c r="B915" s="7"/>
      <c r="C915" s="7"/>
      <c r="D915" s="8">
        <v>14300</v>
      </c>
      <c r="H915" s="9"/>
      <c r="I915" s="11"/>
      <c r="J915" s="11"/>
      <c r="K915" s="11"/>
      <c r="L915" s="41">
        <v>45253</v>
      </c>
    </row>
    <row r="916" spans="1:16" ht="14.4">
      <c r="A916" s="6" t="s">
        <v>1375</v>
      </c>
      <c r="B916" s="7"/>
      <c r="C916" s="7"/>
      <c r="H916" s="9" t="s">
        <v>67</v>
      </c>
      <c r="I916" s="11"/>
      <c r="J916" s="11"/>
      <c r="K916" s="11"/>
      <c r="L916" s="11"/>
    </row>
    <row r="917" spans="1:16" ht="14.4">
      <c r="A917" s="6" t="s">
        <v>1375</v>
      </c>
      <c r="B917" s="7"/>
      <c r="C917" s="7"/>
      <c r="H917" s="42">
        <v>45222</v>
      </c>
      <c r="I917" s="11"/>
      <c r="J917" s="11"/>
      <c r="K917" s="11"/>
      <c r="L917" s="11"/>
    </row>
    <row r="918" spans="1:16" ht="14.4">
      <c r="A918" s="14" t="s">
        <v>1376</v>
      </c>
      <c r="B918" s="13">
        <v>1562586111</v>
      </c>
      <c r="C918" s="14" t="s">
        <v>1377</v>
      </c>
      <c r="D918" s="14"/>
      <c r="E918" s="49">
        <v>42903</v>
      </c>
      <c r="F918" s="14"/>
      <c r="G918" s="14"/>
      <c r="H918" s="10"/>
      <c r="I918" s="10"/>
      <c r="J918" s="10"/>
      <c r="K918" s="10"/>
      <c r="L918" s="10"/>
      <c r="M918" s="14"/>
      <c r="N918" s="14"/>
      <c r="O918" s="14"/>
      <c r="P918" s="14"/>
    </row>
    <row r="919" spans="1:16" ht="14.4">
      <c r="A919" s="6" t="s">
        <v>1378</v>
      </c>
      <c r="B919" s="14"/>
      <c r="C919" s="54" t="s">
        <v>1379</v>
      </c>
      <c r="D919" s="14"/>
      <c r="E919" s="14"/>
      <c r="F919" s="14"/>
      <c r="G919" s="6"/>
      <c r="H919" s="9"/>
      <c r="I919" s="23" t="s">
        <v>55</v>
      </c>
      <c r="J919" s="10"/>
      <c r="K919" s="10"/>
      <c r="L919" s="10"/>
      <c r="P919" s="14"/>
    </row>
    <row r="920" spans="1:16" ht="14.4">
      <c r="A920" s="6" t="s">
        <v>1380</v>
      </c>
      <c r="B920" s="32">
        <v>5492216547338</v>
      </c>
      <c r="C920" s="7" t="s">
        <v>1381</v>
      </c>
      <c r="H920" s="22"/>
      <c r="I920" s="11"/>
      <c r="J920" s="11"/>
      <c r="K920" s="10" t="s">
        <v>212</v>
      </c>
      <c r="L920" s="10"/>
      <c r="P920" s="14"/>
    </row>
    <row r="921" spans="1:16" ht="14.4">
      <c r="A921" s="25" t="s">
        <v>1382</v>
      </c>
      <c r="B921" s="62">
        <v>1565271491</v>
      </c>
      <c r="C921" s="25" t="s">
        <v>1383</v>
      </c>
      <c r="D921" s="21" t="s">
        <v>355</v>
      </c>
      <c r="H921" s="23" t="s">
        <v>934</v>
      </c>
      <c r="I921" s="23" t="s">
        <v>742</v>
      </c>
      <c r="J921" s="23"/>
      <c r="K921" s="23"/>
      <c r="L921" s="23"/>
      <c r="P921" s="14"/>
    </row>
    <row r="922" spans="1:16" ht="14.4">
      <c r="A922" s="13" t="s">
        <v>1384</v>
      </c>
      <c r="B922" s="13">
        <v>1539470203</v>
      </c>
      <c r="C922" s="13" t="s">
        <v>1385</v>
      </c>
      <c r="D922" s="14"/>
      <c r="E922" s="15">
        <v>41821</v>
      </c>
      <c r="F922" s="14"/>
      <c r="G922" s="14"/>
      <c r="H922" s="10"/>
      <c r="I922" s="10"/>
      <c r="J922" s="10"/>
      <c r="K922" s="10"/>
      <c r="L922" s="10"/>
      <c r="M922" s="14"/>
      <c r="N922" s="14"/>
      <c r="O922" s="14"/>
      <c r="P922" s="14"/>
    </row>
    <row r="923" spans="1:16" ht="14.4">
      <c r="A923" s="14" t="s">
        <v>1386</v>
      </c>
      <c r="B923" s="14" t="s">
        <v>1387</v>
      </c>
      <c r="C923" s="19" t="str">
        <f>HYPERLINK("mailto:mabelfernandez@graficagyg.com.ar","mabelfernandez@graficagyg.com.ar")</f>
        <v>mabelfernandez@graficagyg.com.ar</v>
      </c>
      <c r="D923" s="14"/>
      <c r="E923" s="14"/>
      <c r="F923" s="15">
        <v>40756</v>
      </c>
      <c r="G923" s="14"/>
      <c r="H923" s="20">
        <v>41395</v>
      </c>
      <c r="I923" s="10"/>
      <c r="J923" s="10"/>
      <c r="K923" s="10"/>
      <c r="L923" s="10"/>
      <c r="M923" s="14"/>
      <c r="N923" s="14"/>
      <c r="O923" s="14"/>
    </row>
    <row r="924" spans="1:16" ht="14.4">
      <c r="A924" s="13" t="s">
        <v>1388</v>
      </c>
      <c r="B924" s="13" t="s">
        <v>1389</v>
      </c>
      <c r="C924" s="46" t="str">
        <f>HYPERLINK("mailto:m_moavro@hotmail.com","m_moavro@hotmail.com")</f>
        <v>m_moavro@hotmail.com</v>
      </c>
      <c r="D924" s="15">
        <v>41944</v>
      </c>
      <c r="E924" s="14"/>
      <c r="F924" s="14"/>
      <c r="G924" s="14"/>
      <c r="H924" s="10"/>
      <c r="I924" s="10"/>
      <c r="J924" s="10"/>
      <c r="K924" s="10"/>
      <c r="L924" s="10"/>
      <c r="M924" s="14"/>
      <c r="N924" s="14"/>
      <c r="O924" s="14"/>
      <c r="P924" s="14"/>
    </row>
    <row r="925" spans="1:16" ht="14.4">
      <c r="A925" s="14" t="s">
        <v>1390</v>
      </c>
      <c r="B925" s="14"/>
      <c r="C925" s="19" t="str">
        <f>HYPERLINK("mailto:magui1211@hotmail.com","magui1211@hotmail.com")</f>
        <v>magui1211@hotmail.com</v>
      </c>
      <c r="D925" s="14"/>
      <c r="E925" s="15">
        <v>41306</v>
      </c>
      <c r="F925" s="14"/>
      <c r="G925" s="14"/>
      <c r="H925" s="10"/>
      <c r="I925" s="10"/>
      <c r="J925" s="10"/>
      <c r="K925" s="10"/>
      <c r="L925" s="10"/>
      <c r="M925" s="14"/>
      <c r="N925" s="14"/>
      <c r="O925" s="14"/>
      <c r="P925" s="14"/>
    </row>
    <row r="926" spans="1:16" ht="14.4">
      <c r="A926" s="14" t="s">
        <v>1391</v>
      </c>
      <c r="B926" s="14" t="s">
        <v>1392</v>
      </c>
      <c r="C926" s="19" t="str">
        <f>HYPERLINK("mailto:maggiedelger@hotmail.com","maggiedelger@hotmail.com")</f>
        <v>maggiedelger@hotmail.com</v>
      </c>
      <c r="D926" s="15">
        <v>40603</v>
      </c>
      <c r="E926" s="14"/>
      <c r="F926" s="14"/>
      <c r="G926" s="14"/>
      <c r="H926" s="10"/>
      <c r="I926" s="10"/>
      <c r="J926" s="10"/>
      <c r="K926" s="10"/>
      <c r="L926" s="10"/>
      <c r="M926" s="14"/>
      <c r="N926" s="14"/>
      <c r="O926" s="14"/>
      <c r="P926" s="14"/>
    </row>
    <row r="927" spans="1:16" ht="14.4">
      <c r="A927" s="6" t="s">
        <v>1393</v>
      </c>
      <c r="B927" s="7"/>
      <c r="C927" s="6"/>
      <c r="H927" s="9"/>
      <c r="I927" s="11"/>
      <c r="J927" s="11"/>
      <c r="K927" s="11"/>
      <c r="L927" s="11"/>
      <c r="P927" s="7" t="s">
        <v>49</v>
      </c>
    </row>
    <row r="928" spans="1:16" ht="14.4">
      <c r="A928" s="14" t="s">
        <v>1394</v>
      </c>
      <c r="B928" s="14"/>
      <c r="C928" s="19" t="str">
        <f>HYPERLINK("mailto:mb.rodriguez@live.com.ar","mb.rodriguez@live.com.ar")</f>
        <v>mb.rodriguez@live.com.ar</v>
      </c>
      <c r="D928" s="15">
        <v>41579</v>
      </c>
      <c r="E928" s="14"/>
      <c r="F928" s="14"/>
      <c r="G928" s="14"/>
      <c r="H928" s="10"/>
      <c r="I928" s="10"/>
      <c r="J928" s="10"/>
      <c r="K928" s="10"/>
      <c r="L928" s="10"/>
      <c r="M928" s="14"/>
      <c r="N928" s="14"/>
      <c r="O928" s="14"/>
      <c r="P928" s="14"/>
    </row>
    <row r="929" spans="1:16" ht="14.4">
      <c r="A929" s="6" t="s">
        <v>1395</v>
      </c>
      <c r="B929" s="6" t="s">
        <v>1396</v>
      </c>
      <c r="C929" s="6" t="s">
        <v>1397</v>
      </c>
      <c r="H929" s="40">
        <v>45252</v>
      </c>
      <c r="I929" s="11"/>
      <c r="J929" s="11"/>
      <c r="K929" s="11"/>
      <c r="L929" s="11"/>
    </row>
    <row r="930" spans="1:16" ht="14.4">
      <c r="A930" s="14" t="s">
        <v>1398</v>
      </c>
      <c r="B930" s="13">
        <v>1130979376</v>
      </c>
      <c r="C930" s="19" t="str">
        <f>HYPERLINK("mailto:molinamairaa@gmail.com","molinamairaa@gmail.com")</f>
        <v>molinamairaa@gmail.com</v>
      </c>
      <c r="D930" s="15">
        <v>41000</v>
      </c>
      <c r="E930" s="14"/>
      <c r="F930" s="14"/>
      <c r="G930" s="14"/>
      <c r="H930" s="10"/>
      <c r="I930" s="10"/>
      <c r="J930" s="10"/>
      <c r="K930" s="10"/>
      <c r="L930" s="10"/>
      <c r="M930" s="14"/>
      <c r="N930" s="14"/>
      <c r="O930" s="14"/>
      <c r="P930" s="14"/>
    </row>
    <row r="931" spans="1:16" ht="14.4">
      <c r="A931" s="14" t="s">
        <v>1399</v>
      </c>
      <c r="B931" s="14"/>
      <c r="C931" s="14" t="s">
        <v>1400</v>
      </c>
      <c r="D931" s="14"/>
      <c r="E931" s="15">
        <v>41518</v>
      </c>
      <c r="F931" s="14"/>
      <c r="G931" s="14"/>
      <c r="H931" s="10"/>
      <c r="I931" s="10"/>
      <c r="J931" s="10"/>
      <c r="K931" s="10"/>
      <c r="L931" s="10"/>
      <c r="M931" s="14"/>
      <c r="N931" s="14"/>
      <c r="O931" s="14"/>
      <c r="P931" s="14"/>
    </row>
    <row r="932" spans="1:16" ht="14.4">
      <c r="A932" s="9" t="s">
        <v>1401</v>
      </c>
      <c r="B932" s="7"/>
      <c r="C932" s="6" t="s">
        <v>1402</v>
      </c>
      <c r="H932" s="42">
        <v>45222</v>
      </c>
      <c r="I932" s="11"/>
      <c r="J932" s="11"/>
      <c r="K932" s="11"/>
      <c r="L932" s="11"/>
    </row>
    <row r="933" spans="1:16" ht="14.4">
      <c r="A933" s="9" t="s">
        <v>1401</v>
      </c>
      <c r="B933" s="7"/>
      <c r="C933" s="6" t="s">
        <v>1402</v>
      </c>
      <c r="H933" s="9"/>
      <c r="I933" s="41">
        <v>45253</v>
      </c>
      <c r="J933" s="11"/>
      <c r="K933" s="11"/>
      <c r="L933" s="11"/>
    </row>
    <row r="934" spans="1:16" ht="14.4">
      <c r="A934" s="14" t="s">
        <v>1403</v>
      </c>
      <c r="B934" s="14"/>
      <c r="C934" s="14" t="s">
        <v>1404</v>
      </c>
      <c r="D934" s="14"/>
      <c r="E934" s="15">
        <v>41640</v>
      </c>
      <c r="F934" s="14"/>
      <c r="G934" s="14"/>
      <c r="H934" s="10"/>
      <c r="I934" s="10"/>
      <c r="J934" s="10"/>
      <c r="K934" s="10"/>
      <c r="L934" s="10"/>
      <c r="M934" s="14"/>
      <c r="N934" s="14"/>
      <c r="O934" s="14"/>
      <c r="P934" s="14"/>
    </row>
    <row r="935" spans="1:16" ht="14.4">
      <c r="A935" s="9" t="s">
        <v>1405</v>
      </c>
      <c r="B935" s="30">
        <v>92281324872</v>
      </c>
      <c r="C935" s="9" t="s">
        <v>1406</v>
      </c>
      <c r="H935" s="53" t="s">
        <v>220</v>
      </c>
      <c r="I935" s="11"/>
      <c r="J935" s="11"/>
      <c r="K935" s="11"/>
      <c r="L935" s="11"/>
    </row>
    <row r="936" spans="1:16" ht="14.4">
      <c r="A936" s="6" t="s">
        <v>1407</v>
      </c>
      <c r="B936" s="7"/>
      <c r="C936" s="6" t="s">
        <v>1408</v>
      </c>
      <c r="H936" s="9" t="s">
        <v>67</v>
      </c>
      <c r="I936" s="11"/>
      <c r="J936" s="11"/>
      <c r="K936" s="11"/>
      <c r="L936" s="11"/>
    </row>
    <row r="937" spans="1:16" ht="14.4">
      <c r="A937" s="9" t="s">
        <v>1407</v>
      </c>
      <c r="B937" s="7"/>
      <c r="C937" s="6" t="s">
        <v>1408</v>
      </c>
      <c r="H937" s="9"/>
      <c r="I937" s="10" t="s">
        <v>68</v>
      </c>
      <c r="J937" s="11"/>
      <c r="K937" s="11"/>
      <c r="L937" s="11"/>
    </row>
    <row r="938" spans="1:16" ht="14.4">
      <c r="A938" s="9" t="s">
        <v>1407</v>
      </c>
      <c r="B938" s="7"/>
      <c r="C938" s="6" t="s">
        <v>1408</v>
      </c>
      <c r="H938" s="9"/>
      <c r="I938" s="11"/>
      <c r="J938" s="10" t="s">
        <v>163</v>
      </c>
      <c r="K938" s="11"/>
      <c r="L938" s="11"/>
    </row>
    <row r="939" spans="1:16" ht="14.4">
      <c r="A939" s="6" t="s">
        <v>1407</v>
      </c>
      <c r="B939" s="7"/>
      <c r="C939" s="7"/>
      <c r="D939" s="8">
        <v>14300</v>
      </c>
      <c r="H939" s="9"/>
      <c r="I939" s="11"/>
      <c r="J939" s="11"/>
      <c r="K939" s="11"/>
      <c r="L939" s="41">
        <v>45253</v>
      </c>
    </row>
    <row r="940" spans="1:16" ht="14.4">
      <c r="A940" s="13" t="s">
        <v>1409</v>
      </c>
      <c r="B940" s="13" t="s">
        <v>1410</v>
      </c>
      <c r="C940" s="13" t="s">
        <v>1411</v>
      </c>
      <c r="D940" s="14"/>
      <c r="E940" s="15">
        <v>41821</v>
      </c>
      <c r="F940" s="14"/>
      <c r="G940" s="14"/>
      <c r="H940" s="10"/>
      <c r="I940" s="10"/>
      <c r="J940" s="10"/>
      <c r="K940" s="10"/>
      <c r="L940" s="10"/>
      <c r="M940" s="14"/>
      <c r="N940" s="14"/>
      <c r="O940" s="14"/>
      <c r="P940" s="14"/>
    </row>
    <row r="941" spans="1:16" ht="14.4">
      <c r="A941" s="14" t="s">
        <v>1412</v>
      </c>
      <c r="B941" s="14" t="s">
        <v>1413</v>
      </c>
      <c r="C941" s="14" t="s">
        <v>1414</v>
      </c>
      <c r="D941" s="15">
        <v>41183</v>
      </c>
      <c r="E941" s="14"/>
      <c r="F941" s="14"/>
      <c r="G941" s="14"/>
      <c r="H941" s="10"/>
      <c r="I941" s="10"/>
      <c r="J941" s="10"/>
      <c r="K941" s="10"/>
      <c r="L941" s="10"/>
      <c r="M941" s="14"/>
      <c r="N941" s="14"/>
      <c r="O941" s="14"/>
      <c r="P941" s="14"/>
    </row>
    <row r="942" spans="1:16" ht="14.4">
      <c r="A942" s="13" t="s">
        <v>1415</v>
      </c>
      <c r="B942" s="13" t="s">
        <v>1416</v>
      </c>
      <c r="C942" s="46" t="str">
        <f>HYPERLINK("mailto:marc.schrammen@gmail.com","marc.schrammen@gmail.com")</f>
        <v>marc.schrammen@gmail.com</v>
      </c>
      <c r="D942" s="15">
        <v>40817</v>
      </c>
      <c r="E942" s="14"/>
      <c r="F942" s="14"/>
      <c r="G942" s="14"/>
      <c r="H942" s="10"/>
      <c r="I942" s="10"/>
      <c r="J942" s="10"/>
      <c r="K942" s="10"/>
      <c r="L942" s="10"/>
      <c r="M942" s="14"/>
      <c r="N942" s="14"/>
      <c r="O942" s="14"/>
      <c r="P942" s="14"/>
    </row>
    <row r="943" spans="1:16" ht="14.4">
      <c r="A943" s="61" t="s">
        <v>1417</v>
      </c>
      <c r="B943" s="7"/>
      <c r="C943" s="6" t="s">
        <v>1418</v>
      </c>
      <c r="H943" s="42">
        <v>45222</v>
      </c>
      <c r="I943" s="11"/>
      <c r="J943" s="11"/>
      <c r="K943" s="11"/>
      <c r="L943" s="11"/>
    </row>
    <row r="944" spans="1:16" ht="14.4">
      <c r="A944" s="6" t="s">
        <v>1419</v>
      </c>
      <c r="B944" s="7"/>
      <c r="C944" s="6"/>
      <c r="H944" s="9" t="s">
        <v>30</v>
      </c>
      <c r="I944" s="10" t="s">
        <v>31</v>
      </c>
      <c r="J944" s="11"/>
      <c r="K944" s="11"/>
      <c r="L944" s="11"/>
    </row>
    <row r="945" spans="1:17" ht="14.4">
      <c r="A945" s="9" t="s">
        <v>1419</v>
      </c>
      <c r="B945" s="7"/>
      <c r="C945" s="6"/>
      <c r="H945" s="9"/>
      <c r="I945" s="11"/>
      <c r="J945" s="10" t="s">
        <v>49</v>
      </c>
      <c r="K945" s="11"/>
      <c r="L945" s="11"/>
    </row>
    <row r="946" spans="1:17" ht="14.4">
      <c r="A946" s="14" t="s">
        <v>1420</v>
      </c>
      <c r="B946" s="14" t="s">
        <v>1421</v>
      </c>
      <c r="C946" s="19" t="str">
        <f>HYPERLINK("mailto:mmjurado@arnet.com.ar","mmjurado@arnet.com.ar")</f>
        <v>mmjurado@arnet.com.ar</v>
      </c>
      <c r="D946" s="14"/>
      <c r="E946" s="14"/>
      <c r="F946" s="14"/>
      <c r="G946" s="14"/>
      <c r="H946" s="10"/>
      <c r="I946" s="10"/>
      <c r="J946" s="10"/>
      <c r="K946" s="10"/>
      <c r="L946" s="10"/>
      <c r="M946" s="14"/>
      <c r="N946" s="14">
        <v>2015</v>
      </c>
      <c r="O946" s="14"/>
    </row>
    <row r="947" spans="1:17" ht="14.4">
      <c r="A947" s="14" t="s">
        <v>1422</v>
      </c>
      <c r="B947" s="14" t="s">
        <v>1423</v>
      </c>
      <c r="C947" s="14" t="s">
        <v>1424</v>
      </c>
      <c r="D947" s="15">
        <v>41730</v>
      </c>
      <c r="E947" s="14"/>
      <c r="F947" s="14"/>
      <c r="G947" s="14"/>
      <c r="H947" s="10"/>
      <c r="I947" s="10"/>
      <c r="J947" s="10"/>
      <c r="K947" s="10"/>
      <c r="L947" s="10"/>
      <c r="M947" s="14"/>
      <c r="N947" s="14"/>
      <c r="O947" s="14"/>
      <c r="P947" s="14"/>
    </row>
    <row r="948" spans="1:17" ht="14.4">
      <c r="A948" s="6" t="s">
        <v>1425</v>
      </c>
      <c r="B948" s="7"/>
      <c r="C948" s="7"/>
      <c r="H948" s="9" t="s">
        <v>123</v>
      </c>
      <c r="I948" s="11"/>
      <c r="J948" s="11"/>
      <c r="K948" s="11"/>
      <c r="L948" s="11"/>
    </row>
    <row r="949" spans="1:17" ht="14.4">
      <c r="A949" s="6" t="s">
        <v>1426</v>
      </c>
      <c r="B949" s="8">
        <v>1133578937</v>
      </c>
      <c r="C949" s="6" t="s">
        <v>1427</v>
      </c>
      <c r="H949" s="9" t="s">
        <v>123</v>
      </c>
      <c r="I949" s="11"/>
      <c r="J949" s="11"/>
      <c r="K949" s="11"/>
      <c r="L949" s="11"/>
    </row>
    <row r="950" spans="1:17" ht="14.4">
      <c r="A950" s="14" t="s">
        <v>1428</v>
      </c>
      <c r="B950" s="13"/>
      <c r="C950" s="14" t="s">
        <v>1429</v>
      </c>
      <c r="D950" s="14"/>
      <c r="E950" s="49">
        <v>42903</v>
      </c>
      <c r="F950" s="14"/>
      <c r="G950" s="14"/>
      <c r="H950" s="10"/>
      <c r="I950" s="10"/>
      <c r="J950" s="10"/>
      <c r="K950" s="10"/>
      <c r="L950" s="10"/>
      <c r="M950" s="14"/>
      <c r="N950" s="14"/>
      <c r="O950" s="14"/>
    </row>
    <row r="951" spans="1:17" ht="14.4">
      <c r="A951" s="99" t="s">
        <v>1430</v>
      </c>
      <c r="B951" s="99" t="s">
        <v>1431</v>
      </c>
      <c r="C951" s="99" t="s">
        <v>1432</v>
      </c>
      <c r="D951" s="15">
        <v>41579</v>
      </c>
      <c r="E951" s="14"/>
      <c r="F951" s="15">
        <v>41760</v>
      </c>
      <c r="G951" s="14"/>
      <c r="H951" s="20">
        <v>41883</v>
      </c>
      <c r="I951" s="86" t="s">
        <v>1433</v>
      </c>
      <c r="J951" s="86"/>
      <c r="K951" s="86"/>
      <c r="L951" s="86"/>
      <c r="M951" s="14"/>
      <c r="N951" s="14"/>
      <c r="O951" s="14"/>
      <c r="P951" s="14"/>
    </row>
    <row r="952" spans="1:17" ht="14.4">
      <c r="A952" s="61" t="s">
        <v>1434</v>
      </c>
      <c r="B952" s="7"/>
      <c r="C952" s="6"/>
      <c r="H952" s="9" t="s">
        <v>30</v>
      </c>
      <c r="I952" s="11"/>
      <c r="J952" s="11"/>
      <c r="K952" s="11"/>
      <c r="L952" s="11"/>
    </row>
    <row r="953" spans="1:17" ht="14.4">
      <c r="A953" s="6" t="s">
        <v>1435</v>
      </c>
      <c r="B953" s="7"/>
      <c r="C953" s="28" t="s">
        <v>1436</v>
      </c>
      <c r="H953" s="22"/>
      <c r="I953" s="11"/>
      <c r="J953" s="11"/>
      <c r="K953" s="10" t="s">
        <v>212</v>
      </c>
      <c r="L953" s="10"/>
      <c r="P953" s="14"/>
    </row>
    <row r="954" spans="1:17" ht="14.4">
      <c r="A954" s="6" t="s">
        <v>1437</v>
      </c>
      <c r="B954" s="7"/>
      <c r="C954" s="6" t="s">
        <v>1438</v>
      </c>
      <c r="H954" s="42">
        <v>45222</v>
      </c>
      <c r="I954" s="11"/>
      <c r="J954" s="11"/>
      <c r="K954" s="11"/>
      <c r="L954" s="11"/>
    </row>
    <row r="955" spans="1:17" ht="14.4">
      <c r="A955" s="6" t="s">
        <v>1437</v>
      </c>
      <c r="B955" s="7"/>
      <c r="C955" s="6" t="s">
        <v>1438</v>
      </c>
      <c r="H955" s="9"/>
      <c r="I955" s="41">
        <v>45253</v>
      </c>
      <c r="J955" s="11"/>
      <c r="K955" s="11"/>
      <c r="L955" s="11"/>
    </row>
    <row r="956" spans="1:17" ht="14.4">
      <c r="A956" s="6" t="s">
        <v>1439</v>
      </c>
      <c r="B956" s="7"/>
      <c r="C956" s="6"/>
      <c r="H956" s="42">
        <v>45954</v>
      </c>
      <c r="I956" s="11"/>
      <c r="J956" s="11"/>
      <c r="K956" s="11"/>
      <c r="L956" s="11"/>
    </row>
    <row r="957" spans="1:17" ht="14.4">
      <c r="A957" s="6" t="s">
        <v>1439</v>
      </c>
      <c r="B957" s="7"/>
      <c r="C957" s="6"/>
      <c r="H957" s="9"/>
      <c r="I957" s="41">
        <v>45985</v>
      </c>
      <c r="J957" s="11"/>
      <c r="K957" s="11"/>
      <c r="L957" s="11"/>
    </row>
    <row r="958" spans="1:17" ht="14.4">
      <c r="A958" s="6" t="s">
        <v>1440</v>
      </c>
      <c r="B958" s="7"/>
      <c r="C958" s="6"/>
      <c r="H958" s="9"/>
      <c r="I958" s="11"/>
      <c r="J958" s="11"/>
      <c r="K958" s="11"/>
      <c r="L958" s="11"/>
      <c r="Q958" s="16">
        <v>45985</v>
      </c>
    </row>
    <row r="959" spans="1:17" ht="14.4">
      <c r="A959" s="6" t="s">
        <v>1441</v>
      </c>
      <c r="B959" s="7"/>
      <c r="C959" s="6"/>
      <c r="H959" s="9"/>
      <c r="I959" s="11"/>
      <c r="J959" s="11"/>
      <c r="K959" s="11"/>
      <c r="L959" s="11"/>
      <c r="Q959" s="16">
        <v>45985</v>
      </c>
    </row>
    <row r="960" spans="1:17" ht="14.4">
      <c r="A960" s="6" t="s">
        <v>1442</v>
      </c>
      <c r="B960" s="7"/>
      <c r="C960" s="7"/>
      <c r="H960" s="9"/>
      <c r="I960" s="11"/>
      <c r="J960" s="11"/>
      <c r="K960" s="11"/>
      <c r="L960" s="10" t="s">
        <v>35</v>
      </c>
    </row>
    <row r="961" spans="1:17" ht="14.4">
      <c r="A961" s="6" t="s">
        <v>1442</v>
      </c>
      <c r="B961" s="7"/>
      <c r="C961" s="7"/>
      <c r="H961" s="9"/>
      <c r="I961" s="11"/>
      <c r="J961" s="11"/>
      <c r="K961" s="11" t="s">
        <v>24</v>
      </c>
      <c r="L961" s="11"/>
    </row>
    <row r="962" spans="1:17" ht="14.4">
      <c r="A962" s="14" t="s">
        <v>1443</v>
      </c>
      <c r="B962" s="14" t="s">
        <v>1444</v>
      </c>
      <c r="C962" s="14" t="s">
        <v>1445</v>
      </c>
      <c r="D962" s="15">
        <v>40603</v>
      </c>
      <c r="E962" s="14"/>
      <c r="F962" s="14"/>
      <c r="G962" s="14"/>
      <c r="H962" s="10"/>
      <c r="I962" s="10"/>
      <c r="J962" s="10"/>
      <c r="K962" s="10"/>
      <c r="L962" s="10"/>
      <c r="M962" s="14"/>
      <c r="N962" s="14"/>
      <c r="O962" s="14"/>
      <c r="P962" s="14"/>
    </row>
    <row r="963" spans="1:17" ht="14.4">
      <c r="A963" s="7" t="s">
        <v>1446</v>
      </c>
      <c r="B963" s="7"/>
      <c r="C963" s="7" t="s">
        <v>1447</v>
      </c>
      <c r="H963" s="17" t="s">
        <v>20</v>
      </c>
      <c r="I963" s="11"/>
      <c r="J963" s="11"/>
      <c r="K963" s="11"/>
      <c r="L963" s="11"/>
    </row>
    <row r="964" spans="1:17" ht="14.4">
      <c r="A964" s="7" t="s">
        <v>1446</v>
      </c>
      <c r="B964" s="7"/>
      <c r="C964" s="7" t="s">
        <v>1447</v>
      </c>
      <c r="H964" s="9"/>
      <c r="I964" s="10" t="s">
        <v>35</v>
      </c>
      <c r="J964" s="11"/>
      <c r="K964" s="11"/>
      <c r="L964" s="11"/>
    </row>
    <row r="965" spans="1:17" ht="14.4">
      <c r="A965" s="9" t="s">
        <v>1446</v>
      </c>
      <c r="B965" s="53"/>
      <c r="C965" s="6" t="s">
        <v>1447</v>
      </c>
      <c r="H965" s="9"/>
      <c r="I965" s="11"/>
      <c r="J965" s="10" t="s">
        <v>67</v>
      </c>
      <c r="K965" s="11"/>
      <c r="L965" s="11"/>
    </row>
    <row r="966" spans="1:17" ht="14.4">
      <c r="A966" s="9" t="s">
        <v>1446</v>
      </c>
      <c r="B966" s="53"/>
      <c r="C966" s="6" t="s">
        <v>1447</v>
      </c>
      <c r="H966" s="9"/>
      <c r="I966" s="11"/>
      <c r="J966" s="11"/>
      <c r="K966" s="10" t="s">
        <v>68</v>
      </c>
      <c r="L966" s="11"/>
    </row>
    <row r="967" spans="1:17" ht="14.4">
      <c r="A967" s="6" t="s">
        <v>1446</v>
      </c>
      <c r="B967" s="7"/>
      <c r="C967" s="7"/>
      <c r="D967" s="8">
        <v>14300</v>
      </c>
      <c r="H967" s="9"/>
      <c r="I967" s="11"/>
      <c r="J967" s="11"/>
      <c r="K967" s="11"/>
      <c r="L967" s="41">
        <v>45253</v>
      </c>
    </row>
    <row r="968" spans="1:17" ht="14.4">
      <c r="A968" s="6" t="s">
        <v>1446</v>
      </c>
      <c r="B968" s="7"/>
      <c r="C968" s="6"/>
      <c r="H968" s="9"/>
      <c r="I968" s="11"/>
      <c r="J968" s="11"/>
      <c r="K968" s="11"/>
      <c r="L968" s="11"/>
      <c r="Q968" s="16">
        <v>45985</v>
      </c>
    </row>
    <row r="969" spans="1:17" ht="14.4">
      <c r="A969" s="10" t="s">
        <v>1448</v>
      </c>
      <c r="B969" s="23">
        <v>1156517438</v>
      </c>
      <c r="C969" s="10" t="s">
        <v>1449</v>
      </c>
      <c r="H969" s="30" t="s">
        <v>73</v>
      </c>
      <c r="I969" s="11"/>
      <c r="J969" s="11"/>
      <c r="K969" s="11"/>
      <c r="L969" s="11"/>
      <c r="P969" s="14"/>
    </row>
    <row r="970" spans="1:17" ht="14.4">
      <c r="A970" s="6" t="s">
        <v>1450</v>
      </c>
      <c r="B970" s="7"/>
      <c r="C970" s="7"/>
      <c r="H970" s="9" t="s">
        <v>82</v>
      </c>
      <c r="I970" s="11"/>
      <c r="J970" s="11"/>
      <c r="K970" s="11"/>
      <c r="L970" s="11"/>
    </row>
    <row r="971" spans="1:17" ht="14.4">
      <c r="A971" s="9" t="s">
        <v>1450</v>
      </c>
      <c r="B971" s="7"/>
      <c r="C971" s="7"/>
      <c r="H971" s="9"/>
      <c r="I971" s="35">
        <v>45713</v>
      </c>
      <c r="J971" s="11"/>
      <c r="K971" s="11"/>
      <c r="L971" s="11"/>
    </row>
    <row r="972" spans="1:17" ht="14.4">
      <c r="A972" s="14" t="s">
        <v>1451</v>
      </c>
      <c r="B972" s="14"/>
      <c r="C972" s="19" t="str">
        <f>HYPERLINK("mailto:foktomas@gmail.com","foktomas@gmail.com")</f>
        <v>foktomas@gmail.com</v>
      </c>
      <c r="D972" s="14"/>
      <c r="E972" s="15">
        <v>41306</v>
      </c>
      <c r="F972" s="14"/>
      <c r="G972" s="14"/>
      <c r="H972" s="10"/>
      <c r="I972" s="10"/>
      <c r="J972" s="10"/>
      <c r="K972" s="10"/>
      <c r="L972" s="10"/>
      <c r="M972" s="14"/>
      <c r="N972" s="14"/>
      <c r="O972" s="14"/>
      <c r="P972" s="14"/>
    </row>
    <row r="973" spans="1:17" ht="14.4">
      <c r="A973" s="6" t="s">
        <v>1452</v>
      </c>
      <c r="B973" s="32"/>
      <c r="C973" s="6" t="s">
        <v>1453</v>
      </c>
      <c r="H973" s="53" t="s">
        <v>194</v>
      </c>
      <c r="I973" s="43" t="s">
        <v>247</v>
      </c>
      <c r="J973" s="11"/>
      <c r="K973" s="11"/>
      <c r="L973" s="11"/>
    </row>
    <row r="974" spans="1:17" ht="14.4">
      <c r="A974" s="6" t="s">
        <v>1454</v>
      </c>
      <c r="B974" s="7"/>
      <c r="C974" s="6"/>
      <c r="H974" s="9"/>
      <c r="I974" s="11"/>
      <c r="J974" s="11" t="s">
        <v>82</v>
      </c>
      <c r="K974" s="11"/>
      <c r="L974" s="11"/>
    </row>
    <row r="975" spans="1:17" ht="14.4">
      <c r="A975" s="6" t="s">
        <v>1455</v>
      </c>
      <c r="B975" s="7"/>
      <c r="C975" s="6" t="s">
        <v>1456</v>
      </c>
      <c r="H975" s="9" t="s">
        <v>159</v>
      </c>
      <c r="I975" s="11"/>
      <c r="J975" s="11"/>
      <c r="K975" s="11"/>
      <c r="L975" s="11"/>
    </row>
    <row r="976" spans="1:17" ht="14.4">
      <c r="A976" s="7" t="s">
        <v>1455</v>
      </c>
      <c r="B976" s="7"/>
      <c r="C976" s="7" t="s">
        <v>1456</v>
      </c>
      <c r="H976" s="9" t="s">
        <v>75</v>
      </c>
      <c r="I976" s="11"/>
      <c r="J976" s="11"/>
      <c r="K976" s="11"/>
      <c r="L976" s="11"/>
    </row>
    <row r="977" spans="1:17" ht="14.4">
      <c r="A977" s="6" t="s">
        <v>1457</v>
      </c>
      <c r="B977" s="7"/>
      <c r="C977" s="7"/>
      <c r="H977" s="9"/>
      <c r="I977" s="11"/>
      <c r="J977" s="11"/>
      <c r="K977" s="11"/>
      <c r="L977" s="11"/>
      <c r="Q977" s="16">
        <v>45833</v>
      </c>
    </row>
    <row r="978" spans="1:17" ht="14.4">
      <c r="A978" s="10" t="s">
        <v>1458</v>
      </c>
      <c r="B978" s="29" t="s">
        <v>1459</v>
      </c>
      <c r="C978" s="10" t="s">
        <v>1460</v>
      </c>
      <c r="H978" s="30" t="s">
        <v>73</v>
      </c>
      <c r="I978" s="11"/>
      <c r="J978" s="11"/>
      <c r="K978" s="11"/>
      <c r="L978" s="11"/>
      <c r="P978" s="14"/>
    </row>
    <row r="979" spans="1:17" ht="14.4">
      <c r="A979" s="10" t="s">
        <v>1458</v>
      </c>
      <c r="B979" s="27" t="s">
        <v>1459</v>
      </c>
      <c r="C979" s="10" t="s">
        <v>1460</v>
      </c>
      <c r="H979" s="22"/>
      <c r="I979" s="10" t="s">
        <v>215</v>
      </c>
      <c r="J979" s="11"/>
      <c r="K979" s="11"/>
      <c r="L979" s="10"/>
    </row>
    <row r="980" spans="1:17" ht="14.4">
      <c r="A980" s="6" t="s">
        <v>1458</v>
      </c>
      <c r="B980" s="7"/>
      <c r="C980" s="7"/>
      <c r="H980" s="9" t="s">
        <v>123</v>
      </c>
      <c r="I980" s="11"/>
      <c r="J980" s="11"/>
      <c r="K980" s="11"/>
      <c r="L980" s="11"/>
    </row>
    <row r="981" spans="1:17" ht="14.4">
      <c r="A981" s="6" t="s">
        <v>1461</v>
      </c>
      <c r="B981" s="7"/>
      <c r="C981" s="6"/>
      <c r="H981" s="9" t="s">
        <v>49</v>
      </c>
      <c r="I981" s="10" t="s">
        <v>50</v>
      </c>
      <c r="J981" s="11"/>
      <c r="K981" s="11"/>
      <c r="L981" s="11"/>
    </row>
    <row r="982" spans="1:17" ht="14.4">
      <c r="A982" s="6" t="s">
        <v>1461</v>
      </c>
      <c r="B982" s="7"/>
      <c r="C982" s="6"/>
      <c r="H982" s="9"/>
      <c r="I982" s="11"/>
      <c r="J982" s="10" t="s">
        <v>51</v>
      </c>
      <c r="K982" s="11"/>
      <c r="L982" s="11"/>
    </row>
    <row r="983" spans="1:17" ht="14.4">
      <c r="A983" s="10" t="s">
        <v>1462</v>
      </c>
      <c r="B983" s="17">
        <v>1123175508</v>
      </c>
      <c r="C983" s="17" t="s">
        <v>1463</v>
      </c>
      <c r="E983" s="21" t="s">
        <v>372</v>
      </c>
      <c r="H983" s="22"/>
      <c r="I983" s="11"/>
      <c r="J983" s="11"/>
      <c r="K983" s="11"/>
      <c r="L983" s="11"/>
      <c r="P983" s="14"/>
    </row>
    <row r="984" spans="1:17" ht="14.4">
      <c r="A984" s="14" t="s">
        <v>1464</v>
      </c>
      <c r="B984" s="14" t="s">
        <v>1465</v>
      </c>
      <c r="C984" s="19" t="str">
        <f>HYPERLINK("mailto:figinimc@gmail.com","figinimc@gmail.com")</f>
        <v>figinimc@gmail.com</v>
      </c>
      <c r="D984" s="15">
        <v>41183</v>
      </c>
      <c r="E984" s="14"/>
      <c r="F984" s="14"/>
      <c r="G984" s="14"/>
      <c r="H984" s="10"/>
      <c r="I984" s="10"/>
      <c r="J984" s="10"/>
      <c r="K984" s="10"/>
      <c r="L984" s="10"/>
      <c r="M984" s="14"/>
      <c r="N984" s="14"/>
      <c r="O984" s="14"/>
      <c r="P984" s="14"/>
    </row>
    <row r="985" spans="1:17" ht="14.4">
      <c r="A985" s="14" t="s">
        <v>1466</v>
      </c>
      <c r="B985" s="13">
        <v>1540601472</v>
      </c>
      <c r="C985" s="10" t="s">
        <v>1467</v>
      </c>
      <c r="D985" s="21" t="s">
        <v>256</v>
      </c>
      <c r="E985" s="14"/>
      <c r="F985" s="14"/>
      <c r="G985" s="14"/>
      <c r="H985" s="10"/>
      <c r="I985" s="10"/>
      <c r="J985" s="10"/>
      <c r="K985" s="10"/>
      <c r="L985" s="10"/>
      <c r="M985" s="14"/>
      <c r="N985" s="14"/>
      <c r="O985" s="14"/>
      <c r="P985" s="14"/>
    </row>
    <row r="986" spans="1:17" ht="14.4">
      <c r="A986" s="6" t="s">
        <v>1468</v>
      </c>
      <c r="B986" s="7"/>
      <c r="C986" s="7"/>
      <c r="H986" s="9" t="s">
        <v>123</v>
      </c>
      <c r="I986" s="11"/>
      <c r="J986" s="11"/>
      <c r="K986" s="11"/>
      <c r="L986" s="11"/>
    </row>
    <row r="987" spans="1:17" ht="14.4">
      <c r="A987" s="14" t="s">
        <v>1469</v>
      </c>
      <c r="B987" s="13"/>
      <c r="C987" s="17" t="s">
        <v>1470</v>
      </c>
      <c r="D987" s="15">
        <v>40603</v>
      </c>
      <c r="E987" s="14"/>
      <c r="F987" s="14"/>
      <c r="G987" s="14"/>
      <c r="H987" s="23" t="s">
        <v>934</v>
      </c>
      <c r="I987" s="23" t="s">
        <v>742</v>
      </c>
      <c r="J987" s="23"/>
      <c r="K987" s="23"/>
      <c r="L987" s="23"/>
      <c r="M987" s="14"/>
      <c r="N987" s="14"/>
      <c r="O987" s="15">
        <v>42856</v>
      </c>
      <c r="P987" s="14"/>
    </row>
    <row r="988" spans="1:17" ht="14.4">
      <c r="A988" s="14" t="s">
        <v>1471</v>
      </c>
      <c r="B988" s="14" t="s">
        <v>1472</v>
      </c>
      <c r="C988" s="19" t="str">
        <f>HYPERLINK("mailto:marieta_g@hotmail.com","marieta_g@hotmail.com")</f>
        <v>marieta_g@hotmail.com</v>
      </c>
      <c r="E988" s="14"/>
      <c r="F988" s="14"/>
      <c r="G988" s="14"/>
      <c r="H988" s="10"/>
      <c r="I988" s="10"/>
      <c r="J988" s="10"/>
      <c r="K988" s="10"/>
      <c r="L988" s="10"/>
      <c r="M988" s="14"/>
      <c r="N988" s="14"/>
      <c r="O988" s="14"/>
      <c r="P988" s="14"/>
    </row>
    <row r="989" spans="1:17" ht="14.4">
      <c r="A989" s="14" t="s">
        <v>1473</v>
      </c>
      <c r="B989" s="13" t="s">
        <v>1474</v>
      </c>
      <c r="C989" s="14" t="s">
        <v>1475</v>
      </c>
      <c r="D989" s="14"/>
      <c r="E989" s="14"/>
      <c r="F989" s="15">
        <v>41122</v>
      </c>
      <c r="G989" s="14"/>
      <c r="H989" s="10"/>
      <c r="I989" s="10"/>
      <c r="J989" s="10"/>
      <c r="K989" s="10"/>
      <c r="L989" s="10"/>
      <c r="M989" s="14"/>
      <c r="N989" s="14"/>
      <c r="O989" s="14"/>
      <c r="P989" s="14"/>
    </row>
    <row r="990" spans="1:17" ht="14.4">
      <c r="A990" s="14" t="s">
        <v>1476</v>
      </c>
      <c r="B990" s="47" t="s">
        <v>1477</v>
      </c>
      <c r="C990" s="19" t="str">
        <f>HYPERLINK("mailto:maruka4ever_95@hotmail.com","maruka4ever_95@hotmail.com")</f>
        <v>maruka4ever_95@hotmail.com</v>
      </c>
      <c r="D990" s="14"/>
      <c r="E990" s="15">
        <v>41275</v>
      </c>
      <c r="F990" s="14"/>
      <c r="G990" s="14"/>
      <c r="H990" s="10"/>
      <c r="I990" s="10"/>
      <c r="J990" s="10"/>
      <c r="K990" s="10"/>
      <c r="L990" s="10"/>
      <c r="M990" s="14"/>
      <c r="N990" s="14"/>
      <c r="O990" s="14"/>
      <c r="P990" s="14"/>
    </row>
    <row r="991" spans="1:17" ht="14.4">
      <c r="A991" s="13" t="s">
        <v>1478</v>
      </c>
      <c r="B991" s="45" t="str">
        <f>HYPERLINK("tel:%28011%29%2015-3685-2582","15-3685-2582")</f>
        <v>15-3685-2582</v>
      </c>
      <c r="C991" s="46" t="str">
        <f>HYPERLINK("mailto:wayymaru@hotmail.com","wayymaru@hotmail.com")</f>
        <v>wayymaru@hotmail.com</v>
      </c>
      <c r="D991" s="14"/>
      <c r="E991" s="15">
        <v>41821</v>
      </c>
      <c r="F991" s="14"/>
      <c r="G991" s="14"/>
      <c r="H991" s="10"/>
      <c r="I991" s="10"/>
      <c r="J991" s="10"/>
      <c r="K991" s="10"/>
      <c r="L991" s="10"/>
      <c r="M991" s="14"/>
      <c r="N991" s="14"/>
      <c r="O991" s="14"/>
      <c r="P991" s="14"/>
    </row>
    <row r="992" spans="1:17" ht="14.4">
      <c r="A992" s="9" t="s">
        <v>1479</v>
      </c>
      <c r="B992" s="33" t="s">
        <v>1480</v>
      </c>
      <c r="C992" s="6" t="s">
        <v>1481</v>
      </c>
      <c r="H992" s="22"/>
      <c r="I992" s="10" t="s">
        <v>268</v>
      </c>
      <c r="J992" s="11" t="s">
        <v>269</v>
      </c>
      <c r="K992" s="11"/>
      <c r="L992" s="11"/>
    </row>
    <row r="993" spans="1:17" ht="14.4">
      <c r="A993" s="9" t="s">
        <v>1479</v>
      </c>
      <c r="B993" s="6" t="s">
        <v>1480</v>
      </c>
      <c r="C993" s="6" t="s">
        <v>1481</v>
      </c>
      <c r="H993" s="9"/>
      <c r="I993" s="11"/>
      <c r="J993" s="11"/>
      <c r="K993" s="11" t="s">
        <v>159</v>
      </c>
      <c r="L993" s="11"/>
    </row>
    <row r="994" spans="1:17" ht="14.4">
      <c r="A994" s="25" t="s">
        <v>1482</v>
      </c>
      <c r="B994" s="26" t="s">
        <v>1483</v>
      </c>
      <c r="C994" s="53" t="s">
        <v>1484</v>
      </c>
      <c r="D994" s="14" t="s">
        <v>90</v>
      </c>
      <c r="H994" s="22"/>
      <c r="I994" s="11"/>
      <c r="J994" s="11"/>
      <c r="K994" s="11"/>
      <c r="L994" s="11"/>
      <c r="P994" s="14"/>
    </row>
    <row r="995" spans="1:17" ht="14.4">
      <c r="A995" s="14" t="s">
        <v>1485</v>
      </c>
      <c r="B995" s="14"/>
      <c r="C995" s="14" t="s">
        <v>1486</v>
      </c>
      <c r="D995" s="14"/>
      <c r="E995" s="15">
        <v>41456</v>
      </c>
      <c r="F995" s="14"/>
      <c r="G995" s="14"/>
      <c r="H995" s="10"/>
      <c r="I995" s="10"/>
      <c r="J995" s="10"/>
      <c r="K995" s="10"/>
      <c r="L995" s="10"/>
      <c r="M995" s="14"/>
      <c r="N995" s="14"/>
      <c r="O995" s="14"/>
      <c r="P995" s="14"/>
    </row>
    <row r="996" spans="1:17" ht="14.4">
      <c r="A996" s="6" t="s">
        <v>1487</v>
      </c>
      <c r="B996" s="17">
        <v>1151101853</v>
      </c>
      <c r="C996" s="27" t="s">
        <v>1488</v>
      </c>
      <c r="E996" s="21" t="s">
        <v>372</v>
      </c>
      <c r="H996" s="9" t="s">
        <v>260</v>
      </c>
      <c r="I996" s="11"/>
      <c r="J996" s="11"/>
      <c r="K996" s="11"/>
      <c r="L996" s="11"/>
      <c r="P996" s="14"/>
    </row>
    <row r="997" spans="1:17" ht="14.4">
      <c r="A997" s="6" t="s">
        <v>1489</v>
      </c>
      <c r="B997" s="7"/>
      <c r="C997" s="6"/>
      <c r="H997" s="9"/>
      <c r="I997" s="11"/>
      <c r="J997" s="11"/>
      <c r="K997" s="10" t="s">
        <v>49</v>
      </c>
      <c r="L997" s="11"/>
    </row>
    <row r="998" spans="1:17" ht="14.4">
      <c r="A998" s="6" t="s">
        <v>1490</v>
      </c>
      <c r="B998" s="7"/>
      <c r="C998" s="6"/>
      <c r="H998" s="9" t="s">
        <v>29</v>
      </c>
      <c r="I998" s="11"/>
      <c r="J998" s="11"/>
      <c r="K998" s="11"/>
      <c r="L998" s="11"/>
    </row>
    <row r="999" spans="1:17" ht="14.4">
      <c r="A999" s="6" t="s">
        <v>1490</v>
      </c>
      <c r="B999" s="7"/>
      <c r="C999" s="6"/>
      <c r="H999" s="9"/>
      <c r="I999" s="10" t="s">
        <v>30</v>
      </c>
      <c r="J999" s="11"/>
      <c r="K999" s="11"/>
      <c r="L999" s="11"/>
    </row>
    <row r="1000" spans="1:17" ht="14.4">
      <c r="A1000" s="6" t="s">
        <v>1490</v>
      </c>
      <c r="B1000" s="7"/>
      <c r="C1000" s="6"/>
      <c r="H1000" s="9"/>
      <c r="I1000" s="11"/>
      <c r="J1000" s="10" t="s">
        <v>31</v>
      </c>
      <c r="K1000" s="11"/>
      <c r="L1000" s="11"/>
    </row>
    <row r="1001" spans="1:17" ht="14.4">
      <c r="A1001" s="6" t="s">
        <v>1490</v>
      </c>
      <c r="B1001" s="7"/>
      <c r="C1001" s="7"/>
      <c r="H1001" s="9"/>
      <c r="I1001" s="11"/>
      <c r="J1001" s="11"/>
      <c r="K1001" s="11"/>
      <c r="L1001" s="11"/>
      <c r="Q1001" s="16">
        <v>45713</v>
      </c>
    </row>
    <row r="1002" spans="1:17" ht="14.4">
      <c r="A1002" s="6" t="s">
        <v>1491</v>
      </c>
      <c r="B1002" s="27">
        <v>1530009757</v>
      </c>
      <c r="C1002" s="100" t="s">
        <v>1492</v>
      </c>
      <c r="D1002" t="s">
        <v>689</v>
      </c>
      <c r="H1002" s="22"/>
      <c r="I1002" s="11"/>
      <c r="J1002" s="11"/>
      <c r="K1002" s="11"/>
      <c r="L1002" s="11"/>
    </row>
    <row r="1003" spans="1:17" ht="14.4">
      <c r="A1003" s="14" t="s">
        <v>1493</v>
      </c>
      <c r="B1003" s="14" t="s">
        <v>1494</v>
      </c>
      <c r="C1003" s="19" t="str">
        <f>HYPERLINK("mailto:mariajosebello@hotmail.com.ar","mariajosebello@hotmail.com.ar")</f>
        <v>mariajosebello@hotmail.com.ar</v>
      </c>
      <c r="D1003" s="14"/>
      <c r="E1003" s="14"/>
      <c r="F1003" s="15">
        <v>40787</v>
      </c>
      <c r="G1003" s="14"/>
      <c r="H1003" s="10"/>
      <c r="I1003" s="10"/>
      <c r="J1003" s="10"/>
      <c r="K1003" s="10"/>
      <c r="L1003" s="10"/>
      <c r="M1003" s="14"/>
      <c r="N1003" s="14"/>
      <c r="O1003" s="14"/>
      <c r="P1003" s="14"/>
    </row>
    <row r="1004" spans="1:17" ht="14.4">
      <c r="A1004" s="7" t="s">
        <v>1495</v>
      </c>
      <c r="B1004" s="7"/>
      <c r="C1004" s="7" t="s">
        <v>1496</v>
      </c>
      <c r="H1004" s="17" t="s">
        <v>20</v>
      </c>
      <c r="I1004" s="11"/>
      <c r="J1004" s="11"/>
      <c r="K1004" s="11"/>
      <c r="L1004" s="11"/>
    </row>
    <row r="1005" spans="1:17" ht="14.4">
      <c r="A1005" s="13" t="s">
        <v>1497</v>
      </c>
      <c r="B1005" s="13">
        <v>1551381945</v>
      </c>
      <c r="C1005" s="17" t="s">
        <v>1498</v>
      </c>
      <c r="D1005" s="15">
        <v>41183</v>
      </c>
      <c r="E1005" s="14"/>
      <c r="F1005" s="14"/>
      <c r="G1005" s="14"/>
      <c r="H1005" s="23" t="s">
        <v>934</v>
      </c>
      <c r="I1005" s="23" t="s">
        <v>742</v>
      </c>
      <c r="J1005" s="23"/>
      <c r="K1005" s="23"/>
      <c r="L1005" s="23"/>
      <c r="M1005" s="14"/>
      <c r="N1005" s="14"/>
      <c r="O1005" s="15">
        <v>42856</v>
      </c>
      <c r="P1005" s="14"/>
    </row>
    <row r="1006" spans="1:17" ht="14.4">
      <c r="A1006" s="14" t="s">
        <v>1499</v>
      </c>
      <c r="B1006" s="13">
        <v>1539173570</v>
      </c>
      <c r="C1006" s="19" t="str">
        <f>HYPERLINK("mailto:mlpinolli@gmail.com","mlpinolli@gmail.com")</f>
        <v>mlpinolli@gmail.com</v>
      </c>
      <c r="E1006" s="14"/>
      <c r="F1006" s="14"/>
      <c r="G1006" s="14"/>
      <c r="H1006" s="10"/>
      <c r="I1006" s="10"/>
      <c r="J1006" s="10"/>
      <c r="K1006" s="10"/>
      <c r="L1006" s="10"/>
      <c r="M1006" s="14"/>
      <c r="N1006" s="14"/>
      <c r="O1006" s="14"/>
      <c r="P1006" s="14"/>
    </row>
    <row r="1007" spans="1:17" ht="14.4">
      <c r="A1007" s="44" t="s">
        <v>1500</v>
      </c>
      <c r="B1007" s="44"/>
      <c r="C1007" s="14" t="s">
        <v>1501</v>
      </c>
      <c r="D1007" s="14"/>
      <c r="E1007" s="14"/>
      <c r="F1007" s="14"/>
      <c r="G1007" s="14"/>
      <c r="H1007" s="10"/>
      <c r="I1007" s="10"/>
      <c r="J1007" s="10"/>
      <c r="K1007" s="10"/>
      <c r="L1007" s="10"/>
      <c r="M1007" s="15">
        <v>42309</v>
      </c>
      <c r="N1007" s="14"/>
      <c r="O1007" s="14"/>
      <c r="P1007" s="14"/>
    </row>
    <row r="1008" spans="1:17" ht="14.4">
      <c r="A1008" s="14" t="s">
        <v>1502</v>
      </c>
      <c r="B1008" s="13">
        <v>22615524102</v>
      </c>
      <c r="C1008" s="14" t="s">
        <v>1503</v>
      </c>
      <c r="D1008" s="14"/>
      <c r="E1008" s="14"/>
      <c r="F1008" s="14"/>
      <c r="G1008" s="14"/>
      <c r="H1008" s="20">
        <v>41883</v>
      </c>
      <c r="I1008" s="10"/>
      <c r="J1008" s="10"/>
      <c r="K1008" s="10"/>
      <c r="L1008" s="10"/>
      <c r="M1008" s="14"/>
      <c r="N1008" s="14"/>
      <c r="O1008" s="14"/>
      <c r="P1008" s="14"/>
    </row>
    <row r="1009" spans="1:16" ht="14.4">
      <c r="A1009" s="14" t="s">
        <v>1504</v>
      </c>
      <c r="B1009" s="14" t="s">
        <v>1505</v>
      </c>
      <c r="C1009" s="14" t="s">
        <v>1506</v>
      </c>
      <c r="D1009" s="15">
        <v>41091</v>
      </c>
      <c r="E1009" s="14"/>
      <c r="F1009" s="14"/>
      <c r="G1009" s="14"/>
      <c r="H1009" s="10"/>
      <c r="I1009" s="10"/>
      <c r="J1009" s="10"/>
      <c r="K1009" s="10"/>
      <c r="L1009" s="10"/>
      <c r="M1009" s="14"/>
      <c r="N1009" s="14"/>
      <c r="O1009" s="14"/>
      <c r="P1009" s="14"/>
    </row>
    <row r="1010" spans="1:16" ht="14.4">
      <c r="A1010" s="13" t="s">
        <v>1507</v>
      </c>
      <c r="B1010" s="13">
        <v>1541998521</v>
      </c>
      <c r="C1010" s="13" t="s">
        <v>1508</v>
      </c>
      <c r="D1010" s="14"/>
      <c r="E1010" s="15">
        <v>41913</v>
      </c>
      <c r="F1010" s="14"/>
      <c r="G1010" s="14"/>
      <c r="H1010" s="10"/>
      <c r="I1010" s="10"/>
      <c r="J1010" s="10"/>
      <c r="K1010" s="10"/>
      <c r="L1010" s="10"/>
      <c r="M1010" s="14"/>
      <c r="N1010" s="14"/>
      <c r="O1010" s="14"/>
      <c r="P1010" s="14"/>
    </row>
    <row r="1011" spans="1:16" ht="14.4">
      <c r="A1011" s="10" t="s">
        <v>1509</v>
      </c>
      <c r="B1011" s="10" t="s">
        <v>1510</v>
      </c>
      <c r="C1011" s="10" t="s">
        <v>1511</v>
      </c>
      <c r="D1011" s="14"/>
      <c r="E1011" s="14"/>
      <c r="F1011" s="14"/>
      <c r="G1011" s="14"/>
      <c r="H1011" s="23" t="s">
        <v>257</v>
      </c>
      <c r="I1011" s="10"/>
      <c r="J1011" s="10"/>
      <c r="K1011" s="10"/>
      <c r="L1011" s="10"/>
      <c r="M1011" s="14"/>
      <c r="N1011" s="14"/>
      <c r="O1011" s="14"/>
      <c r="P1011" s="14"/>
    </row>
    <row r="1012" spans="1:16" ht="14.4">
      <c r="A1012" s="14" t="s">
        <v>1512</v>
      </c>
      <c r="B1012" s="14" t="s">
        <v>1513</v>
      </c>
      <c r="C1012" s="19" t="str">
        <f>HYPERLINK("mailto:maria.parola@zurich.com","maria.parola@zurich.com")</f>
        <v>maria.parola@zurich.com</v>
      </c>
      <c r="D1012" s="15">
        <v>41730</v>
      </c>
      <c r="E1012" s="14"/>
      <c r="F1012" s="14"/>
      <c r="G1012" s="14"/>
      <c r="H1012" s="10"/>
      <c r="I1012" s="10"/>
      <c r="J1012" s="10"/>
      <c r="K1012" s="10"/>
      <c r="L1012" s="10"/>
      <c r="M1012" s="14"/>
      <c r="N1012" s="14"/>
      <c r="O1012" s="14"/>
      <c r="P1012" s="14"/>
    </row>
    <row r="1013" spans="1:16" ht="14.4">
      <c r="A1013" s="14" t="s">
        <v>1514</v>
      </c>
      <c r="B1013" s="13">
        <v>1561631394</v>
      </c>
      <c r="C1013" s="14" t="s">
        <v>1515</v>
      </c>
      <c r="D1013" s="21" t="s">
        <v>256</v>
      </c>
      <c r="E1013" s="14"/>
      <c r="F1013" s="14"/>
      <c r="G1013" s="14"/>
      <c r="H1013" s="10"/>
      <c r="I1013" s="10"/>
      <c r="J1013" s="10"/>
      <c r="K1013" s="10"/>
      <c r="L1013" s="10"/>
      <c r="M1013" s="14"/>
      <c r="N1013" s="14"/>
      <c r="O1013" s="14"/>
      <c r="P1013" s="14"/>
    </row>
    <row r="1014" spans="1:16" ht="14.4">
      <c r="A1014" s="13" t="s">
        <v>1516</v>
      </c>
      <c r="B1014" s="13">
        <v>1531371263</v>
      </c>
      <c r="C1014" s="13" t="s">
        <v>1517</v>
      </c>
      <c r="D1014" s="14"/>
      <c r="E1014" s="15">
        <v>41821</v>
      </c>
      <c r="F1014" s="14"/>
      <c r="G1014" s="14"/>
      <c r="H1014" s="10"/>
      <c r="I1014" s="10"/>
      <c r="J1014" s="10"/>
      <c r="K1014" s="10"/>
      <c r="L1014" s="10"/>
      <c r="M1014" s="14"/>
      <c r="N1014" s="14"/>
      <c r="O1014" s="14"/>
      <c r="P1014" s="14"/>
    </row>
    <row r="1015" spans="1:16" ht="14.4">
      <c r="A1015" s="14" t="s">
        <v>1518</v>
      </c>
      <c r="B1015" s="14"/>
      <c r="C1015" s="19" t="str">
        <f>HYPERLINK("mailto:marita.pollice@hotmail.com","marita.pollice@hotmail.com")</f>
        <v>marita.pollice@hotmail.com</v>
      </c>
      <c r="D1015" s="14"/>
      <c r="E1015" s="15">
        <v>41365</v>
      </c>
      <c r="F1015" s="14"/>
      <c r="G1015" s="14"/>
      <c r="H1015" s="10"/>
      <c r="I1015" s="10"/>
      <c r="J1015" s="10"/>
      <c r="K1015" s="10"/>
      <c r="L1015" s="10"/>
      <c r="M1015" s="14"/>
      <c r="N1015" s="14"/>
      <c r="O1015" s="14"/>
      <c r="P1015" s="14"/>
    </row>
    <row r="1016" spans="1:16" ht="14.4">
      <c r="A1016" s="6" t="s">
        <v>1519</v>
      </c>
      <c r="B1016" s="7"/>
      <c r="C1016" s="6"/>
      <c r="H1016" s="9" t="s">
        <v>51</v>
      </c>
      <c r="I1016" s="11"/>
      <c r="J1016" s="11"/>
      <c r="K1016" s="11"/>
      <c r="L1016" s="11"/>
    </row>
    <row r="1017" spans="1:16" ht="14.4">
      <c r="A1017" s="6" t="s">
        <v>1520</v>
      </c>
      <c r="B1017" s="7"/>
      <c r="C1017" s="6"/>
      <c r="H1017" s="9" t="s">
        <v>49</v>
      </c>
      <c r="I1017" s="10" t="s">
        <v>50</v>
      </c>
      <c r="J1017" s="11"/>
      <c r="K1017" s="11"/>
      <c r="L1017" s="11"/>
    </row>
    <row r="1018" spans="1:16" ht="14.4">
      <c r="A1018" s="6" t="s">
        <v>1520</v>
      </c>
      <c r="B1018" s="7"/>
      <c r="C1018" s="6"/>
      <c r="H1018" s="9"/>
      <c r="I1018" s="11"/>
      <c r="J1018" s="10" t="s">
        <v>51</v>
      </c>
      <c r="K1018" s="11"/>
      <c r="L1018" s="11"/>
    </row>
    <row r="1019" spans="1:16" ht="14.4">
      <c r="A1019" s="18" t="s">
        <v>1521</v>
      </c>
      <c r="B1019" s="27">
        <v>2214209662</v>
      </c>
      <c r="C1019" s="18" t="s">
        <v>1522</v>
      </c>
      <c r="H1019" s="53" t="s">
        <v>194</v>
      </c>
      <c r="I1019" s="11"/>
      <c r="J1019" s="11"/>
      <c r="K1019" s="11"/>
      <c r="L1019" s="11"/>
    </row>
    <row r="1020" spans="1:16" ht="14.4">
      <c r="A1020" s="14" t="s">
        <v>1523</v>
      </c>
      <c r="B1020" s="14"/>
      <c r="C1020" s="19" t="str">
        <f>HYPERLINK("mailto:maria_ruiz1948@yahoo.com.ar","maria_ruiz1948@yahoo.com.ar")</f>
        <v>maria_ruiz1948@yahoo.com.ar</v>
      </c>
      <c r="D1020" s="14"/>
      <c r="E1020" s="14"/>
      <c r="F1020" s="14"/>
      <c r="G1020" s="14"/>
      <c r="H1020" s="20">
        <v>41275</v>
      </c>
      <c r="I1020" s="10"/>
      <c r="J1020" s="10"/>
      <c r="K1020" s="10"/>
      <c r="L1020" s="10"/>
      <c r="M1020" s="14"/>
      <c r="N1020" s="14"/>
      <c r="O1020" s="14"/>
      <c r="P1020" s="14"/>
    </row>
    <row r="1021" spans="1:16" ht="14.4">
      <c r="A1021" s="9" t="s">
        <v>1524</v>
      </c>
      <c r="B1021" s="7"/>
      <c r="C1021" s="6"/>
      <c r="H1021" s="9" t="s">
        <v>30</v>
      </c>
      <c r="I1021" s="11"/>
      <c r="J1021" s="11"/>
      <c r="K1021" s="11"/>
      <c r="L1021" s="11"/>
    </row>
    <row r="1022" spans="1:16" ht="14.4">
      <c r="A1022" s="10" t="s">
        <v>1525</v>
      </c>
      <c r="B1022" s="62">
        <v>1551617632</v>
      </c>
      <c r="C1022" s="62" t="s">
        <v>1526</v>
      </c>
      <c r="H1022" s="23" t="s">
        <v>132</v>
      </c>
      <c r="I1022" s="63"/>
      <c r="J1022" s="63"/>
      <c r="K1022" s="63"/>
      <c r="L1022" s="63"/>
      <c r="P1022" s="14"/>
    </row>
    <row r="1023" spans="1:16" ht="14.4">
      <c r="A1023" s="14" t="s">
        <v>1527</v>
      </c>
      <c r="B1023" s="13">
        <v>1567987787</v>
      </c>
      <c r="C1023" s="14" t="s">
        <v>1528</v>
      </c>
      <c r="D1023" s="14"/>
      <c r="E1023" s="49">
        <v>42903</v>
      </c>
      <c r="F1023" s="14"/>
      <c r="G1023" s="14"/>
      <c r="H1023" s="10"/>
      <c r="I1023" s="10"/>
      <c r="J1023" s="10"/>
      <c r="K1023" s="10"/>
      <c r="L1023" s="10"/>
      <c r="M1023" s="14"/>
      <c r="N1023" s="14"/>
      <c r="O1023" s="14"/>
      <c r="P1023" s="14"/>
    </row>
    <row r="1024" spans="1:16" ht="14.4">
      <c r="A1024" s="6" t="s">
        <v>1529</v>
      </c>
      <c r="B1024" s="7"/>
      <c r="C1024" s="6" t="s">
        <v>1530</v>
      </c>
      <c r="H1024" s="17" t="s">
        <v>19</v>
      </c>
      <c r="I1024" s="11"/>
      <c r="J1024" s="11"/>
      <c r="K1024" s="11"/>
      <c r="L1024" s="11"/>
    </row>
    <row r="1025" spans="1:16" ht="14.4">
      <c r="A1025" s="14" t="s">
        <v>1531</v>
      </c>
      <c r="B1025" s="13" t="s">
        <v>1532</v>
      </c>
      <c r="C1025" s="19" t="str">
        <f>HYPERLINK("mailto:mariaforte2003@yahoo.com.ar"," mariaforte2003@yahoo.com.ar")</f>
        <v> mariaforte2003@yahoo.com.ar</v>
      </c>
      <c r="D1025" s="14"/>
      <c r="E1025" s="14"/>
      <c r="F1025" s="14"/>
      <c r="G1025" s="14"/>
      <c r="H1025" s="10"/>
      <c r="I1025" s="10"/>
      <c r="J1025" s="10"/>
      <c r="K1025" s="10"/>
      <c r="L1025" s="10"/>
      <c r="M1025" s="15">
        <v>42125</v>
      </c>
      <c r="N1025" s="14"/>
      <c r="O1025" s="14"/>
      <c r="P1025" s="14"/>
    </row>
    <row r="1026" spans="1:16" ht="14.4">
      <c r="A1026" s="14" t="s">
        <v>1533</v>
      </c>
      <c r="B1026" s="27">
        <v>1569974541</v>
      </c>
      <c r="C1026" s="101" t="s">
        <v>1534</v>
      </c>
      <c r="D1026" s="36">
        <v>43299</v>
      </c>
      <c r="H1026" s="22"/>
      <c r="I1026" s="11"/>
      <c r="J1026" s="11"/>
      <c r="K1026" s="11"/>
      <c r="L1026" s="11"/>
      <c r="P1026" s="14"/>
    </row>
    <row r="1027" spans="1:16" ht="14.4">
      <c r="A1027" s="14" t="s">
        <v>1535</v>
      </c>
      <c r="B1027" s="14"/>
      <c r="C1027" s="19" t="str">
        <f>HYPERLINK("mailto:maricalise@gmail.com","maricalise@gmail.com")</f>
        <v>maricalise@gmail.com</v>
      </c>
      <c r="D1027" s="14"/>
      <c r="E1027" s="14"/>
      <c r="F1027" s="14"/>
      <c r="G1027" s="14"/>
      <c r="H1027" s="10"/>
      <c r="I1027" s="20">
        <v>41609</v>
      </c>
      <c r="J1027" s="20"/>
      <c r="K1027" s="20"/>
      <c r="L1027" s="20"/>
      <c r="M1027" s="14"/>
      <c r="N1027" s="14"/>
      <c r="O1027" s="14"/>
      <c r="P1027" s="14"/>
    </row>
    <row r="1028" spans="1:16" ht="14.4">
      <c r="A1028" s="14" t="s">
        <v>1536</v>
      </c>
      <c r="B1028" s="13" t="s">
        <v>1537</v>
      </c>
      <c r="C1028" s="19" t="str">
        <f>HYPERLINK("mailto:maiacanosa@gmail.com","maiacanosa@gmail.com")</f>
        <v>maiacanosa@gmail.com</v>
      </c>
      <c r="D1028" s="15">
        <v>41395</v>
      </c>
      <c r="E1028" s="14"/>
      <c r="F1028" s="14"/>
      <c r="G1028" s="14"/>
      <c r="H1028" s="10"/>
      <c r="I1028" s="10"/>
      <c r="J1028" s="10"/>
      <c r="K1028" s="10"/>
      <c r="L1028" s="10"/>
      <c r="M1028" s="14"/>
      <c r="N1028" s="14"/>
      <c r="O1028" s="14"/>
      <c r="P1028" s="14"/>
    </row>
    <row r="1029" spans="1:16" ht="14.4">
      <c r="A1029" s="6" t="s">
        <v>1538</v>
      </c>
      <c r="B1029" s="55">
        <v>1164006436</v>
      </c>
      <c r="C1029" s="18" t="s">
        <v>1539</v>
      </c>
      <c r="D1029" t="s">
        <v>689</v>
      </c>
      <c r="H1029" s="22"/>
      <c r="I1029" s="11"/>
      <c r="J1029" s="11"/>
      <c r="K1029" s="11"/>
      <c r="L1029" s="11"/>
    </row>
    <row r="1030" spans="1:16" ht="14.4">
      <c r="A1030" s="6" t="s">
        <v>1538</v>
      </c>
      <c r="B1030" s="30">
        <v>1164006436</v>
      </c>
      <c r="C1030" s="18" t="s">
        <v>1539</v>
      </c>
      <c r="H1030" s="57" t="s">
        <v>294</v>
      </c>
      <c r="I1030" s="11"/>
      <c r="J1030" s="11"/>
      <c r="K1030" s="11"/>
      <c r="L1030" s="11"/>
    </row>
    <row r="1031" spans="1:16" ht="14.4">
      <c r="A1031" s="6" t="s">
        <v>1540</v>
      </c>
      <c r="B1031" s="7"/>
      <c r="C1031" s="6" t="s">
        <v>1541</v>
      </c>
      <c r="H1031" s="42">
        <v>45222</v>
      </c>
      <c r="I1031" s="11"/>
      <c r="J1031" s="11"/>
      <c r="K1031" s="11"/>
      <c r="L1031" s="11"/>
    </row>
    <row r="1032" spans="1:16" ht="14.4">
      <c r="A1032" s="6" t="s">
        <v>1540</v>
      </c>
      <c r="B1032" s="7"/>
      <c r="C1032" s="6" t="s">
        <v>1541</v>
      </c>
      <c r="H1032" s="9"/>
      <c r="I1032" s="41">
        <v>45253</v>
      </c>
      <c r="J1032" s="11"/>
      <c r="K1032" s="11"/>
      <c r="L1032" s="11"/>
    </row>
    <row r="1033" spans="1:16" ht="14.4">
      <c r="A1033" s="6" t="s">
        <v>1542</v>
      </c>
      <c r="B1033" s="8">
        <v>2224534361</v>
      </c>
      <c r="C1033" s="6" t="s">
        <v>1543</v>
      </c>
      <c r="H1033" s="69" t="s">
        <v>269</v>
      </c>
      <c r="I1033" s="11" t="s">
        <v>110</v>
      </c>
      <c r="J1033" s="11"/>
      <c r="K1033" s="11"/>
      <c r="L1033" s="11"/>
    </row>
    <row r="1034" spans="1:16" ht="14.4">
      <c r="A1034" s="6" t="s">
        <v>1542</v>
      </c>
      <c r="B1034" s="7"/>
      <c r="C1034" s="6" t="s">
        <v>1543</v>
      </c>
      <c r="H1034" s="22"/>
      <c r="I1034" s="11"/>
      <c r="J1034" s="35">
        <v>45252</v>
      </c>
      <c r="K1034" s="11"/>
      <c r="L1034" s="11"/>
    </row>
    <row r="1035" spans="1:16" ht="14.4">
      <c r="A1035" s="53" t="s">
        <v>1544</v>
      </c>
      <c r="B1035" s="26">
        <v>1549716189</v>
      </c>
      <c r="C1035" s="25" t="s">
        <v>1545</v>
      </c>
      <c r="D1035" s="21" t="s">
        <v>355</v>
      </c>
      <c r="H1035" s="22"/>
      <c r="I1035" s="11"/>
      <c r="J1035" s="11"/>
      <c r="K1035" s="11"/>
      <c r="L1035" s="11"/>
      <c r="P1035" s="14"/>
    </row>
    <row r="1036" spans="1:16" ht="14.4">
      <c r="A1036" s="6" t="s">
        <v>1546</v>
      </c>
      <c r="B1036" s="7"/>
      <c r="C1036" s="6"/>
      <c r="H1036" s="9" t="s">
        <v>51</v>
      </c>
      <c r="I1036" s="11"/>
      <c r="J1036" s="11"/>
      <c r="K1036" s="11"/>
      <c r="L1036" s="11"/>
    </row>
    <row r="1037" spans="1:16" ht="14.4">
      <c r="A1037" s="6" t="s">
        <v>1546</v>
      </c>
      <c r="B1037" s="7"/>
      <c r="C1037" s="6"/>
      <c r="H1037" s="9"/>
      <c r="I1037" s="41">
        <v>45954</v>
      </c>
      <c r="J1037" s="11"/>
      <c r="K1037" s="11"/>
      <c r="L1037" s="11"/>
    </row>
    <row r="1038" spans="1:16" ht="14.4">
      <c r="A1038" s="6" t="s">
        <v>1546</v>
      </c>
      <c r="B1038" s="7"/>
      <c r="C1038" s="6"/>
      <c r="H1038" s="9"/>
      <c r="I1038" s="11"/>
      <c r="J1038" s="41">
        <v>45985</v>
      </c>
      <c r="K1038" s="11"/>
      <c r="L1038" s="11"/>
    </row>
    <row r="1039" spans="1:16" ht="14.4">
      <c r="A1039" s="6" t="s">
        <v>1547</v>
      </c>
      <c r="B1039" s="7"/>
      <c r="C1039" s="7"/>
      <c r="H1039" s="9" t="s">
        <v>94</v>
      </c>
      <c r="I1039" s="11"/>
      <c r="J1039" s="11"/>
      <c r="K1039" s="11"/>
      <c r="L1039" s="11"/>
    </row>
    <row r="1040" spans="1:16" ht="14.4">
      <c r="A1040" s="6" t="s">
        <v>1547</v>
      </c>
      <c r="B1040" s="7"/>
      <c r="C1040" s="6"/>
      <c r="H1040" s="9" t="s">
        <v>94</v>
      </c>
      <c r="I1040" s="11"/>
      <c r="J1040" s="11"/>
      <c r="K1040" s="11"/>
      <c r="L1040" s="11"/>
    </row>
    <row r="1041" spans="1:17" ht="14.4">
      <c r="A1041" s="6" t="s">
        <v>1548</v>
      </c>
      <c r="B1041" s="7"/>
      <c r="C1041" s="6" t="s">
        <v>1549</v>
      </c>
      <c r="H1041" s="53" t="s">
        <v>220</v>
      </c>
      <c r="I1041" s="43" t="s">
        <v>247</v>
      </c>
      <c r="J1041" s="11"/>
      <c r="K1041" s="11"/>
      <c r="L1041" s="11"/>
    </row>
    <row r="1042" spans="1:17" ht="14.4">
      <c r="A1042" s="14" t="s">
        <v>1550</v>
      </c>
      <c r="B1042" s="14"/>
      <c r="C1042" s="19" t="str">
        <f>HYPERLINK("mailto:mari.sciarrotta@gmail.com","mari.sciarrotta@gmail.com")</f>
        <v>mari.sciarrotta@gmail.com</v>
      </c>
      <c r="D1042" s="14"/>
      <c r="E1042" s="15">
        <v>41456</v>
      </c>
      <c r="F1042" s="14"/>
      <c r="G1042" s="14"/>
      <c r="H1042" s="10"/>
      <c r="I1042" s="10"/>
      <c r="J1042" s="10"/>
      <c r="K1042" s="10"/>
      <c r="L1042" s="10"/>
      <c r="M1042" s="14"/>
      <c r="N1042" s="14"/>
      <c r="O1042" s="14"/>
      <c r="P1042" s="14"/>
    </row>
    <row r="1043" spans="1:17" ht="14.4">
      <c r="A1043" s="6" t="s">
        <v>1551</v>
      </c>
      <c r="B1043" s="27">
        <v>1560490999</v>
      </c>
      <c r="C1043" s="18" t="s">
        <v>1552</v>
      </c>
      <c r="H1043" s="9" t="s">
        <v>260</v>
      </c>
      <c r="I1043" s="11"/>
      <c r="J1043" s="11"/>
      <c r="K1043" s="11"/>
      <c r="L1043" s="11"/>
      <c r="P1043" s="14"/>
    </row>
    <row r="1044" spans="1:17" ht="14.4">
      <c r="A1044" s="6" t="s">
        <v>1553</v>
      </c>
      <c r="B1044" s="7"/>
      <c r="C1044" s="7"/>
      <c r="H1044" s="9"/>
      <c r="I1044" s="11"/>
      <c r="J1044" s="11"/>
      <c r="K1044" s="11"/>
      <c r="L1044" s="11"/>
      <c r="Q1044" s="16">
        <v>45713</v>
      </c>
    </row>
    <row r="1045" spans="1:17" ht="14.4">
      <c r="A1045" s="6" t="s">
        <v>1553</v>
      </c>
      <c r="B1045" s="7"/>
      <c r="C1045" s="7"/>
      <c r="H1045" s="9" t="s">
        <v>82</v>
      </c>
      <c r="I1045" s="11"/>
      <c r="J1045" s="11"/>
      <c r="K1045" s="11"/>
      <c r="L1045" s="11"/>
    </row>
    <row r="1046" spans="1:17" ht="14.4">
      <c r="A1046" s="9" t="s">
        <v>1553</v>
      </c>
      <c r="B1046" s="7"/>
      <c r="C1046" s="7"/>
      <c r="H1046" s="9"/>
      <c r="I1046" s="35">
        <v>45713</v>
      </c>
      <c r="J1046" s="11"/>
      <c r="K1046" s="11"/>
      <c r="L1046" s="11"/>
    </row>
    <row r="1047" spans="1:17" ht="14.4">
      <c r="A1047" s="14" t="s">
        <v>1554</v>
      </c>
      <c r="B1047" s="13" t="s">
        <v>1555</v>
      </c>
      <c r="C1047" s="14" t="s">
        <v>1556</v>
      </c>
      <c r="D1047" s="15">
        <v>40848</v>
      </c>
      <c r="E1047" s="14"/>
      <c r="F1047" s="14"/>
      <c r="G1047" s="14"/>
      <c r="H1047" s="10"/>
      <c r="I1047" s="10"/>
      <c r="J1047" s="10"/>
      <c r="K1047" s="10"/>
      <c r="L1047" s="10"/>
      <c r="M1047" s="14"/>
      <c r="N1047" s="14"/>
      <c r="O1047" s="14"/>
      <c r="P1047" s="14"/>
    </row>
    <row r="1048" spans="1:17" ht="14.4">
      <c r="A1048" s="14" t="s">
        <v>1557</v>
      </c>
      <c r="B1048" s="14"/>
      <c r="C1048" s="19" t="str">
        <f>HYPERLINK("mailto:mcortese@jusbaires.gov.ar","mcortese@jusbaires.gov.ar")</f>
        <v>mcortese@jusbaires.gov.ar</v>
      </c>
      <c r="D1048" s="14"/>
      <c r="E1048" s="15">
        <v>41671</v>
      </c>
      <c r="F1048" s="14"/>
      <c r="G1048" s="14"/>
      <c r="H1048" s="10"/>
      <c r="I1048" s="10"/>
      <c r="J1048" s="10"/>
      <c r="K1048" s="10"/>
      <c r="L1048" s="10"/>
      <c r="M1048" s="14"/>
      <c r="N1048" s="14"/>
      <c r="O1048" s="14"/>
      <c r="P1048" s="14"/>
    </row>
    <row r="1049" spans="1:17" ht="14.4">
      <c r="A1049" s="14" t="s">
        <v>1558</v>
      </c>
      <c r="B1049" s="14" t="s">
        <v>1559</v>
      </c>
      <c r="C1049" s="10" t="s">
        <v>1560</v>
      </c>
      <c r="D1049" s="14"/>
      <c r="E1049" s="14"/>
      <c r="F1049" s="14"/>
      <c r="G1049" s="14"/>
      <c r="H1049" s="20">
        <v>42278</v>
      </c>
      <c r="I1049" s="10"/>
      <c r="J1049" s="10"/>
      <c r="K1049" s="10"/>
      <c r="L1049" s="10"/>
      <c r="M1049" s="14"/>
      <c r="N1049" s="14"/>
      <c r="O1049" s="14"/>
      <c r="P1049" s="14"/>
    </row>
    <row r="1050" spans="1:17" ht="14.4">
      <c r="A1050" s="14" t="s">
        <v>1561</v>
      </c>
      <c r="B1050" s="13">
        <v>1533281305</v>
      </c>
      <c r="C1050" s="13" t="s">
        <v>1562</v>
      </c>
      <c r="D1050" s="21" t="s">
        <v>177</v>
      </c>
      <c r="E1050" s="14"/>
      <c r="F1050" s="14"/>
      <c r="G1050" s="14"/>
      <c r="H1050" s="10"/>
      <c r="I1050" s="10"/>
      <c r="J1050" s="10"/>
      <c r="K1050" s="10"/>
      <c r="L1050" s="10"/>
      <c r="M1050" s="14"/>
      <c r="N1050" s="14"/>
      <c r="O1050" s="14"/>
      <c r="P1050" s="14"/>
    </row>
    <row r="1051" spans="1:17" ht="14.4">
      <c r="A1051" s="6" t="s">
        <v>1563</v>
      </c>
      <c r="B1051" s="7"/>
      <c r="C1051" s="6" t="s">
        <v>1564</v>
      </c>
      <c r="H1051" s="17" t="s">
        <v>19</v>
      </c>
      <c r="I1051" s="11"/>
      <c r="J1051" s="11"/>
      <c r="K1051" s="11"/>
      <c r="L1051" s="11"/>
    </row>
    <row r="1052" spans="1:17" ht="14.4">
      <c r="A1052" s="6" t="s">
        <v>1563</v>
      </c>
      <c r="B1052" s="7"/>
      <c r="C1052" s="6" t="s">
        <v>1564</v>
      </c>
      <c r="H1052" s="9"/>
      <c r="I1052" s="10" t="s">
        <v>20</v>
      </c>
      <c r="J1052" s="11"/>
      <c r="K1052" s="11"/>
      <c r="L1052" s="11"/>
    </row>
    <row r="1053" spans="1:17" ht="14.4">
      <c r="A1053" s="14" t="s">
        <v>1565</v>
      </c>
      <c r="B1053" s="14" t="s">
        <v>1566</v>
      </c>
      <c r="C1053" s="14" t="s">
        <v>1567</v>
      </c>
      <c r="D1053" s="15">
        <v>41579</v>
      </c>
      <c r="E1053" s="14"/>
      <c r="F1053" s="14"/>
      <c r="G1053" s="14"/>
      <c r="H1053" s="10"/>
      <c r="I1053" s="10"/>
      <c r="J1053" s="10"/>
      <c r="K1053" s="10"/>
      <c r="L1053" s="10"/>
      <c r="M1053" s="14"/>
      <c r="N1053" s="14"/>
      <c r="O1053" s="14"/>
      <c r="P1053" s="14"/>
    </row>
    <row r="1054" spans="1:17" ht="14.4">
      <c r="A1054" s="14" t="s">
        <v>1568</v>
      </c>
      <c r="B1054" s="14"/>
      <c r="C1054" s="19" t="str">
        <f>HYPERLINK("mailto:pepperinas@hotmail.com","pepperinas@hotmail.com")</f>
        <v>pepperinas@hotmail.com</v>
      </c>
      <c r="D1054" s="14"/>
      <c r="E1054" s="15">
        <v>41306</v>
      </c>
      <c r="F1054" s="14"/>
      <c r="G1054" s="14"/>
      <c r="H1054" s="10"/>
      <c r="I1054" s="10"/>
      <c r="J1054" s="10"/>
      <c r="K1054" s="10"/>
      <c r="L1054" s="10"/>
      <c r="M1054" s="14"/>
      <c r="N1054" s="14"/>
      <c r="O1054" s="14"/>
      <c r="P1054" s="14"/>
    </row>
    <row r="1055" spans="1:17" ht="14.4">
      <c r="A1055" s="13" t="s">
        <v>1569</v>
      </c>
      <c r="B1055" s="13" t="s">
        <v>1570</v>
      </c>
      <c r="C1055" s="46" t="str">
        <f>HYPERLINK("mailto:maricelhbenegas@gmail.com","maricelhbenegas@gmail.com")</f>
        <v>maricelhbenegas@gmail.com</v>
      </c>
      <c r="D1055" s="15">
        <v>41518</v>
      </c>
      <c r="E1055" s="14"/>
      <c r="F1055" s="15">
        <v>41760</v>
      </c>
      <c r="G1055" s="14"/>
      <c r="H1055" s="10"/>
      <c r="I1055" s="10"/>
      <c r="J1055" s="10"/>
      <c r="K1055" s="10"/>
      <c r="L1055" s="10"/>
      <c r="M1055" s="14"/>
      <c r="N1055" s="14"/>
      <c r="O1055" s="14"/>
      <c r="P1055" s="14"/>
    </row>
    <row r="1056" spans="1:17" ht="14.4">
      <c r="A1056" s="53" t="s">
        <v>1571</v>
      </c>
      <c r="B1056" s="38">
        <v>1567332435</v>
      </c>
      <c r="C1056" s="25" t="s">
        <v>1572</v>
      </c>
      <c r="D1056" s="21" t="s">
        <v>355</v>
      </c>
      <c r="H1056" s="22"/>
      <c r="I1056" s="11"/>
      <c r="J1056" s="11"/>
      <c r="K1056" s="11"/>
      <c r="L1056" s="11"/>
      <c r="P1056" s="14"/>
    </row>
    <row r="1057" spans="1:16" ht="14.4">
      <c r="A1057" s="14" t="s">
        <v>1573</v>
      </c>
      <c r="B1057" s="14" t="s">
        <v>1574</v>
      </c>
      <c r="C1057" s="14" t="s">
        <v>1575</v>
      </c>
      <c r="D1057" s="15">
        <v>41091</v>
      </c>
      <c r="E1057" s="14"/>
      <c r="F1057" s="14"/>
      <c r="G1057" s="14"/>
      <c r="H1057" s="10"/>
      <c r="I1057" s="10"/>
      <c r="J1057" s="10"/>
      <c r="K1057" s="10"/>
      <c r="L1057" s="10"/>
      <c r="M1057" s="14"/>
      <c r="N1057" s="14"/>
      <c r="O1057" s="14"/>
      <c r="P1057" s="14"/>
    </row>
    <row r="1058" spans="1:16" ht="14.4">
      <c r="A1058" s="10" t="s">
        <v>1576</v>
      </c>
      <c r="B1058" s="10" t="s">
        <v>1577</v>
      </c>
      <c r="C1058" s="10" t="s">
        <v>1578</v>
      </c>
      <c r="D1058" s="14"/>
      <c r="E1058" s="14"/>
      <c r="F1058" s="14"/>
      <c r="G1058" s="14"/>
      <c r="H1058" s="23" t="s">
        <v>257</v>
      </c>
      <c r="I1058" s="10"/>
      <c r="J1058" s="10"/>
      <c r="K1058" s="10"/>
      <c r="L1058" s="10"/>
      <c r="M1058" s="14"/>
      <c r="N1058" s="14"/>
      <c r="O1058" s="14"/>
      <c r="P1058" s="14"/>
    </row>
    <row r="1059" spans="1:16" ht="14.4">
      <c r="A1059" s="6" t="s">
        <v>1579</v>
      </c>
      <c r="B1059" s="7"/>
      <c r="C1059" s="6" t="s">
        <v>1580</v>
      </c>
      <c r="H1059" s="57" t="s">
        <v>294</v>
      </c>
      <c r="I1059" s="11"/>
      <c r="J1059" s="11"/>
      <c r="K1059" s="11"/>
      <c r="L1059" s="11"/>
    </row>
    <row r="1060" spans="1:16" ht="14.4">
      <c r="A1060" s="14" t="s">
        <v>1581</v>
      </c>
      <c r="B1060" s="14" t="s">
        <v>1582</v>
      </c>
      <c r="C1060" s="19" t="str">
        <f>HYPERLINK("mailto:marielaura.s@hotmail.com","marielaura.s@hotmail.com")</f>
        <v>marielaura.s@hotmail.com</v>
      </c>
      <c r="D1060" s="14"/>
      <c r="E1060" s="14"/>
      <c r="F1060" s="15">
        <v>41365</v>
      </c>
      <c r="G1060" s="14"/>
      <c r="H1060" s="10"/>
      <c r="I1060" s="10"/>
      <c r="J1060" s="10"/>
      <c r="K1060" s="10"/>
      <c r="L1060" s="10"/>
      <c r="M1060" s="14"/>
      <c r="N1060" s="14"/>
      <c r="O1060" s="14"/>
      <c r="P1060" s="14"/>
    </row>
    <row r="1061" spans="1:16" ht="14.4">
      <c r="A1061" s="6" t="s">
        <v>1583</v>
      </c>
      <c r="B1061" s="32"/>
      <c r="C1061" s="6" t="s">
        <v>1584</v>
      </c>
      <c r="H1061" s="53" t="s">
        <v>194</v>
      </c>
      <c r="I1061" s="43" t="s">
        <v>247</v>
      </c>
      <c r="J1061" t="s">
        <v>689</v>
      </c>
      <c r="K1061" s="11"/>
      <c r="L1061" s="11"/>
    </row>
    <row r="1062" spans="1:16" ht="14.4">
      <c r="A1062" s="6" t="s">
        <v>1583</v>
      </c>
      <c r="B1062" s="6"/>
      <c r="C1062" s="6" t="s">
        <v>1584</v>
      </c>
      <c r="H1062" s="22"/>
      <c r="I1062" s="11"/>
      <c r="J1062" s="11"/>
      <c r="K1062" s="57" t="s">
        <v>294</v>
      </c>
      <c r="L1062" s="11"/>
    </row>
    <row r="1063" spans="1:16" ht="14.4">
      <c r="A1063" s="14" t="s">
        <v>1585</v>
      </c>
      <c r="B1063" s="17" t="s">
        <v>1586</v>
      </c>
      <c r="C1063" s="10" t="s">
        <v>1587</v>
      </c>
      <c r="E1063" s="21" t="s">
        <v>314</v>
      </c>
      <c r="H1063" s="22"/>
      <c r="I1063" s="11"/>
      <c r="J1063" s="11"/>
      <c r="K1063" s="11"/>
      <c r="L1063" s="11"/>
      <c r="P1063" s="14"/>
    </row>
    <row r="1064" spans="1:16" ht="14.4">
      <c r="A1064" s="6" t="s">
        <v>1588</v>
      </c>
      <c r="B1064" s="7"/>
      <c r="C1064" s="7"/>
      <c r="H1064" s="9" t="s">
        <v>82</v>
      </c>
      <c r="I1064" s="11"/>
      <c r="J1064" s="11"/>
      <c r="K1064" s="11"/>
      <c r="L1064" s="11"/>
    </row>
    <row r="1065" spans="1:16" ht="14.4">
      <c r="A1065" s="9" t="s">
        <v>1588</v>
      </c>
      <c r="B1065" s="7"/>
      <c r="C1065" s="7"/>
      <c r="H1065" s="9"/>
      <c r="I1065" s="35">
        <v>45713</v>
      </c>
      <c r="J1065" s="11"/>
      <c r="K1065" s="11"/>
      <c r="L1065" s="11"/>
    </row>
    <row r="1066" spans="1:16" ht="14.4">
      <c r="A1066" s="6" t="s">
        <v>1589</v>
      </c>
      <c r="B1066" s="7"/>
      <c r="C1066" s="14" t="s">
        <v>1590</v>
      </c>
      <c r="H1066" s="22" t="s">
        <v>275</v>
      </c>
      <c r="I1066" s="11"/>
      <c r="J1066" s="11"/>
      <c r="K1066" s="11"/>
      <c r="L1066" s="11"/>
    </row>
    <row r="1067" spans="1:16" ht="14.4">
      <c r="A1067" s="6" t="s">
        <v>1589</v>
      </c>
      <c r="B1067" s="7"/>
      <c r="C1067" s="6" t="s">
        <v>1590</v>
      </c>
      <c r="H1067" s="53" t="s">
        <v>730</v>
      </c>
      <c r="I1067" s="11"/>
      <c r="J1067" s="11"/>
      <c r="K1067" s="11"/>
      <c r="L1067" s="11"/>
    </row>
    <row r="1068" spans="1:16" ht="14.4">
      <c r="A1068" s="13" t="s">
        <v>1591</v>
      </c>
      <c r="B1068" s="45" t="str">
        <f>HYPERLINK("tel:1158847585","1158847585")</f>
        <v>1158847585</v>
      </c>
      <c r="C1068" s="46" t="str">
        <f>HYPERLINK("mailto:marinaestray@gmail.com","marinaestray@gmail.com ")</f>
        <v>marinaestray@gmail.com </v>
      </c>
      <c r="D1068" s="14"/>
      <c r="E1068" s="15">
        <v>41821</v>
      </c>
      <c r="F1068" s="14"/>
      <c r="G1068" s="14"/>
      <c r="H1068" s="10"/>
      <c r="I1068" s="10"/>
      <c r="J1068" s="10"/>
      <c r="K1068" s="10"/>
      <c r="L1068" s="10"/>
      <c r="M1068" s="14"/>
      <c r="N1068" s="14"/>
      <c r="O1068" s="14"/>
      <c r="P1068" s="14"/>
    </row>
    <row r="1069" spans="1:16" ht="14.4">
      <c r="A1069" s="14" t="s">
        <v>1592</v>
      </c>
      <c r="B1069" s="14" t="s">
        <v>1593</v>
      </c>
      <c r="C1069" s="19" t="str">
        <f>HYPERLINK("mailto:maruli.fc@hotmail.com","maruli.fc@hotmail.com")</f>
        <v>maruli.fc@hotmail.com</v>
      </c>
      <c r="D1069" s="15">
        <v>40603</v>
      </c>
      <c r="E1069" s="14"/>
      <c r="F1069" s="15">
        <v>40756</v>
      </c>
      <c r="G1069" s="14"/>
      <c r="H1069" s="10"/>
      <c r="I1069" s="10"/>
      <c r="J1069" s="10"/>
      <c r="K1069" s="10"/>
      <c r="L1069" s="10"/>
      <c r="M1069" s="14"/>
      <c r="N1069" s="14"/>
      <c r="O1069" s="14"/>
      <c r="P1069" s="14"/>
    </row>
    <row r="1070" spans="1:16" ht="14.4">
      <c r="A1070" s="53" t="s">
        <v>1594</v>
      </c>
      <c r="B1070" s="26">
        <v>1559435447</v>
      </c>
      <c r="C1070" s="25" t="s">
        <v>1595</v>
      </c>
      <c r="D1070" s="21" t="s">
        <v>355</v>
      </c>
      <c r="H1070" s="22"/>
      <c r="I1070" s="11"/>
      <c r="J1070" s="11"/>
      <c r="K1070" s="11"/>
      <c r="L1070" s="11"/>
      <c r="P1070" s="14"/>
    </row>
    <row r="1071" spans="1:16" ht="14.4">
      <c r="A1071" s="14" t="s">
        <v>1596</v>
      </c>
      <c r="B1071" s="14" t="s">
        <v>1597</v>
      </c>
      <c r="C1071" s="19" t="str">
        <f>HYPERLINK("mailto:mgbouza@gmail.com","mgbouza@gmail.com")</f>
        <v>mgbouza@gmail.com</v>
      </c>
      <c r="D1071" s="14"/>
      <c r="E1071" s="14"/>
      <c r="F1071" s="15">
        <v>40787</v>
      </c>
      <c r="G1071" s="14"/>
      <c r="H1071" s="10"/>
      <c r="I1071" s="10"/>
      <c r="J1071" s="10"/>
      <c r="K1071" s="10"/>
      <c r="L1071" s="10"/>
      <c r="M1071" s="14"/>
      <c r="N1071" s="14"/>
      <c r="O1071" s="14"/>
      <c r="P1071" s="14"/>
    </row>
    <row r="1072" spans="1:16" ht="14.4">
      <c r="A1072" s="14" t="s">
        <v>1598</v>
      </c>
      <c r="B1072" s="13">
        <v>1544355597</v>
      </c>
      <c r="C1072" s="19" t="str">
        <f>HYPERLINK("mailto:solesydelfines787@live.com.ar","solesydelfines787@live.com.ar")</f>
        <v>solesydelfines787@live.com.ar</v>
      </c>
      <c r="D1072" s="15">
        <v>41000</v>
      </c>
      <c r="E1072" s="14"/>
      <c r="F1072" s="14"/>
      <c r="G1072" s="14"/>
      <c r="H1072" s="10"/>
      <c r="I1072" s="10"/>
      <c r="J1072" s="10"/>
      <c r="K1072" s="10"/>
      <c r="L1072" s="10"/>
      <c r="M1072" s="14"/>
      <c r="N1072" s="14"/>
      <c r="O1072" s="14"/>
      <c r="P1072" s="14"/>
    </row>
    <row r="1073" spans="1:16" ht="14.4">
      <c r="A1073" s="6" t="s">
        <v>1599</v>
      </c>
      <c r="B1073" s="18" t="s">
        <v>1600</v>
      </c>
      <c r="C1073" s="54" t="s">
        <v>1601</v>
      </c>
      <c r="H1073" s="22"/>
      <c r="I1073" s="43" t="s">
        <v>295</v>
      </c>
      <c r="J1073" s="11"/>
      <c r="K1073" s="11"/>
      <c r="L1073" s="11"/>
    </row>
    <row r="1074" spans="1:16" ht="14.4">
      <c r="A1074" s="13" t="s">
        <v>1602</v>
      </c>
      <c r="B1074" s="13">
        <v>1521787361</v>
      </c>
      <c r="C1074" s="13" t="s">
        <v>1603</v>
      </c>
      <c r="D1074" s="14"/>
      <c r="E1074" s="15">
        <v>41821</v>
      </c>
      <c r="F1074" s="14"/>
      <c r="G1074" s="14"/>
      <c r="H1074" s="10"/>
      <c r="I1074" s="10"/>
      <c r="J1074" s="10"/>
      <c r="K1074" s="10"/>
      <c r="L1074" s="10"/>
      <c r="M1074" s="14"/>
      <c r="N1074" s="14"/>
      <c r="O1074" s="14"/>
      <c r="P1074" s="14"/>
    </row>
    <row r="1075" spans="1:16" ht="14.4">
      <c r="A1075" s="6" t="s">
        <v>1604</v>
      </c>
      <c r="B1075" s="8">
        <v>1160937053</v>
      </c>
      <c r="C1075" s="6" t="s">
        <v>1605</v>
      </c>
      <c r="H1075" s="9" t="s">
        <v>94</v>
      </c>
      <c r="I1075" s="11"/>
      <c r="J1075" s="11"/>
      <c r="K1075" s="11"/>
      <c r="L1075" s="11"/>
    </row>
    <row r="1076" spans="1:16" ht="14.4">
      <c r="A1076" s="6" t="s">
        <v>1604</v>
      </c>
      <c r="B1076" s="7"/>
      <c r="C1076" s="6"/>
      <c r="H1076" s="9" t="s">
        <v>94</v>
      </c>
      <c r="I1076" s="11"/>
      <c r="J1076" s="11"/>
      <c r="K1076" s="11"/>
      <c r="L1076" s="11"/>
    </row>
    <row r="1077" spans="1:16" ht="14.4">
      <c r="A1077" s="6" t="s">
        <v>1606</v>
      </c>
      <c r="B1077" s="7"/>
      <c r="C1077" s="6" t="s">
        <v>1607</v>
      </c>
      <c r="H1077" s="42">
        <v>45222</v>
      </c>
      <c r="I1077" s="11"/>
      <c r="J1077" s="11"/>
      <c r="K1077" s="11"/>
      <c r="L1077" s="11"/>
    </row>
    <row r="1078" spans="1:16" ht="14.4">
      <c r="A1078" s="6" t="s">
        <v>1606</v>
      </c>
      <c r="B1078" s="7"/>
      <c r="C1078" s="6" t="s">
        <v>1607</v>
      </c>
      <c r="H1078" s="9"/>
      <c r="I1078" s="41">
        <v>45253</v>
      </c>
      <c r="J1078" s="11"/>
      <c r="K1078" s="11"/>
      <c r="L1078" s="11"/>
    </row>
    <row r="1079" spans="1:16" ht="14.4">
      <c r="A1079" s="6" t="s">
        <v>1606</v>
      </c>
      <c r="B1079" s="7"/>
      <c r="C1079" s="6"/>
      <c r="H1079" s="9"/>
      <c r="I1079" s="11"/>
      <c r="J1079" s="11"/>
      <c r="K1079" s="10" t="s">
        <v>49</v>
      </c>
      <c r="L1079" s="11"/>
    </row>
    <row r="1080" spans="1:16" ht="14.4">
      <c r="A1080" s="6" t="s">
        <v>1608</v>
      </c>
      <c r="B1080" s="7"/>
      <c r="C1080" s="6"/>
      <c r="H1080" s="9"/>
      <c r="I1080" s="10" t="s">
        <v>30</v>
      </c>
      <c r="J1080" s="11"/>
      <c r="K1080" s="11"/>
      <c r="L1080" s="11"/>
    </row>
    <row r="1081" spans="1:16" ht="14.4">
      <c r="A1081" s="14" t="s">
        <v>1609</v>
      </c>
      <c r="B1081" s="14" t="s">
        <v>1610</v>
      </c>
      <c r="C1081" s="14" t="s">
        <v>1611</v>
      </c>
      <c r="D1081" s="15">
        <v>41000</v>
      </c>
      <c r="E1081" s="14"/>
      <c r="F1081" s="15">
        <v>41122</v>
      </c>
      <c r="G1081" s="15">
        <v>41852</v>
      </c>
      <c r="H1081" s="20">
        <v>41821</v>
      </c>
      <c r="I1081" s="23" t="s">
        <v>742</v>
      </c>
      <c r="J1081" s="23"/>
      <c r="K1081" s="10" t="s">
        <v>91</v>
      </c>
      <c r="L1081" s="10"/>
      <c r="M1081" s="14"/>
      <c r="N1081" s="14"/>
      <c r="O1081" s="14"/>
      <c r="P1081" s="14"/>
    </row>
    <row r="1082" spans="1:16" ht="14.4">
      <c r="A1082" s="14" t="s">
        <v>1612</v>
      </c>
      <c r="B1082" s="14" t="s">
        <v>1613</v>
      </c>
      <c r="C1082" s="19" t="str">
        <f>HYPERLINK("mailto:mariojvillafane@yahoo.com.ar","mariojvillafane@yahoo.com.ar")</f>
        <v>mariojvillafane@yahoo.com.ar</v>
      </c>
      <c r="D1082" s="15">
        <v>41730</v>
      </c>
      <c r="E1082" s="14"/>
      <c r="F1082" s="15">
        <v>41760</v>
      </c>
      <c r="G1082" s="15">
        <v>41852</v>
      </c>
      <c r="H1082" s="20">
        <v>41883</v>
      </c>
      <c r="I1082" s="10"/>
      <c r="J1082" s="10"/>
      <c r="K1082" s="10"/>
      <c r="L1082" s="10"/>
      <c r="M1082" s="14"/>
      <c r="N1082" s="14"/>
      <c r="O1082" s="14"/>
      <c r="P1082" s="14"/>
    </row>
    <row r="1083" spans="1:16" ht="14.4">
      <c r="A1083" s="6" t="s">
        <v>1614</v>
      </c>
      <c r="B1083" s="7"/>
      <c r="C1083" s="7"/>
      <c r="H1083" s="9" t="s">
        <v>123</v>
      </c>
      <c r="I1083" s="11"/>
      <c r="J1083" s="11"/>
      <c r="K1083" s="11"/>
      <c r="L1083" s="11"/>
    </row>
    <row r="1084" spans="1:16" ht="14.4">
      <c r="A1084" s="6" t="s">
        <v>1615</v>
      </c>
      <c r="B1084" s="7"/>
      <c r="C1084" s="6"/>
      <c r="H1084" s="9" t="s">
        <v>29</v>
      </c>
      <c r="I1084" s="11"/>
      <c r="J1084" s="11"/>
      <c r="K1084" s="11"/>
      <c r="L1084" s="11"/>
    </row>
    <row r="1085" spans="1:16" ht="14.4">
      <c r="A1085" s="6" t="s">
        <v>1615</v>
      </c>
      <c r="B1085" s="7"/>
      <c r="C1085" s="6"/>
      <c r="H1085" s="9"/>
      <c r="I1085" s="10" t="s">
        <v>30</v>
      </c>
      <c r="J1085" s="11"/>
      <c r="K1085" s="11"/>
      <c r="L1085" s="11"/>
    </row>
    <row r="1086" spans="1:16" ht="14.4">
      <c r="A1086" s="6" t="s">
        <v>1615</v>
      </c>
      <c r="B1086" s="7"/>
      <c r="C1086" s="6"/>
      <c r="H1086" s="9"/>
      <c r="I1086" s="11"/>
      <c r="J1086" s="10" t="s">
        <v>31</v>
      </c>
      <c r="K1086" s="11"/>
      <c r="L1086" s="11"/>
    </row>
    <row r="1087" spans="1:16" ht="14.4">
      <c r="A1087" s="9" t="s">
        <v>1616</v>
      </c>
      <c r="B1087" s="33">
        <v>1160946413</v>
      </c>
      <c r="C1087" s="6" t="s">
        <v>1617</v>
      </c>
      <c r="H1087" s="22"/>
      <c r="I1087" s="11" t="s">
        <v>247</v>
      </c>
      <c r="J1087" s="11"/>
      <c r="K1087" s="11"/>
      <c r="L1087" s="11"/>
    </row>
    <row r="1088" spans="1:16" ht="14.4">
      <c r="A1088" s="14" t="s">
        <v>1618</v>
      </c>
      <c r="B1088" s="14"/>
      <c r="C1088" s="14" t="s">
        <v>1619</v>
      </c>
      <c r="D1088" s="14"/>
      <c r="E1088" s="15">
        <v>41456</v>
      </c>
      <c r="F1088" s="14"/>
      <c r="G1088" s="14"/>
      <c r="H1088" s="10"/>
      <c r="I1088" s="10"/>
      <c r="J1088" s="10"/>
      <c r="K1088" s="10"/>
      <c r="L1088" s="10"/>
      <c r="M1088" s="14"/>
      <c r="N1088" s="14"/>
      <c r="O1088" s="14"/>
      <c r="P1088" s="14"/>
    </row>
    <row r="1089" spans="1:17" ht="14.4">
      <c r="A1089" s="14" t="s">
        <v>1620</v>
      </c>
      <c r="B1089" s="14"/>
      <c r="C1089" s="19" t="str">
        <f>HYPERLINK("mailto:el.despertar@gmail.com","el.despertar@gmail.com")</f>
        <v>el.despertar@gmail.com</v>
      </c>
      <c r="D1089" s="14"/>
      <c r="E1089" s="15">
        <v>41426</v>
      </c>
      <c r="F1089" s="14"/>
      <c r="G1089" s="14"/>
      <c r="H1089" s="10"/>
      <c r="I1089" s="10"/>
      <c r="J1089" s="10"/>
      <c r="K1089" s="10"/>
      <c r="L1089" s="10"/>
      <c r="M1089" s="14"/>
      <c r="N1089" s="14"/>
      <c r="O1089" s="14"/>
      <c r="P1089" s="14"/>
    </row>
    <row r="1090" spans="1:17" ht="14.4">
      <c r="A1090" s="6" t="s">
        <v>1621</v>
      </c>
      <c r="B1090" s="7"/>
      <c r="C1090" s="7"/>
      <c r="H1090" s="9"/>
      <c r="I1090" s="11"/>
      <c r="J1090" s="11"/>
      <c r="K1090" s="11"/>
      <c r="L1090" s="11"/>
      <c r="Q1090" s="16">
        <v>45713</v>
      </c>
    </row>
    <row r="1091" spans="1:17" ht="14.4">
      <c r="A1091" s="6" t="s">
        <v>1622</v>
      </c>
      <c r="B1091" s="7"/>
      <c r="C1091" s="7"/>
      <c r="H1091" s="9" t="s">
        <v>65</v>
      </c>
      <c r="I1091" s="11"/>
      <c r="J1091" s="11"/>
      <c r="K1091" s="11"/>
      <c r="L1091" s="11"/>
    </row>
    <row r="1092" spans="1:17" ht="14.4">
      <c r="A1092" s="6" t="s">
        <v>1622</v>
      </c>
      <c r="B1092" s="7"/>
      <c r="C1092" s="7"/>
      <c r="H1092" s="9"/>
      <c r="I1092" s="11" t="s">
        <v>22</v>
      </c>
      <c r="J1092" s="11"/>
      <c r="K1092" s="11"/>
      <c r="L1092" s="11"/>
    </row>
    <row r="1093" spans="1:17" ht="14.4">
      <c r="A1093" s="14" t="s">
        <v>1623</v>
      </c>
      <c r="B1093" s="13">
        <v>1553474314</v>
      </c>
      <c r="C1093" s="14" t="s">
        <v>1624</v>
      </c>
      <c r="D1093" s="14"/>
      <c r="E1093" s="14"/>
      <c r="F1093" s="14"/>
      <c r="G1093" s="14"/>
      <c r="H1093" s="10"/>
      <c r="I1093" s="10"/>
      <c r="J1093" s="10"/>
      <c r="K1093" s="10"/>
      <c r="L1093" s="10"/>
      <c r="M1093" s="14"/>
      <c r="N1093" s="14"/>
      <c r="O1093" s="14"/>
      <c r="P1093" s="14"/>
    </row>
    <row r="1094" spans="1:17" ht="14.4">
      <c r="A1094" s="14" t="s">
        <v>1625</v>
      </c>
      <c r="B1094" s="17">
        <v>1554555471</v>
      </c>
      <c r="C1094" s="17" t="s">
        <v>1626</v>
      </c>
      <c r="D1094" s="15">
        <v>42856</v>
      </c>
      <c r="E1094" s="14"/>
      <c r="F1094" s="14"/>
      <c r="G1094" s="14"/>
      <c r="H1094" s="10"/>
      <c r="I1094" s="10"/>
      <c r="J1094" s="10"/>
      <c r="K1094" s="10"/>
      <c r="L1094" s="10"/>
      <c r="M1094" s="14"/>
      <c r="N1094" s="14"/>
      <c r="O1094" s="14"/>
      <c r="P1094" s="14"/>
    </row>
    <row r="1095" spans="1:17" ht="14.4">
      <c r="A1095" s="6" t="s">
        <v>1627</v>
      </c>
      <c r="B1095" s="7"/>
      <c r="C1095" s="6" t="s">
        <v>1628</v>
      </c>
      <c r="H1095" s="17" t="s">
        <v>19</v>
      </c>
      <c r="I1095" s="11"/>
      <c r="J1095" s="11"/>
      <c r="K1095" s="11"/>
      <c r="L1095" s="11"/>
    </row>
    <row r="1096" spans="1:17" ht="14.4">
      <c r="A1096" s="6" t="s">
        <v>1627</v>
      </c>
      <c r="B1096" s="7"/>
      <c r="C1096" s="6" t="s">
        <v>1628</v>
      </c>
      <c r="H1096" s="9"/>
      <c r="I1096" s="10" t="s">
        <v>20</v>
      </c>
      <c r="J1096" s="11"/>
      <c r="K1096" s="11"/>
      <c r="L1096" s="11"/>
    </row>
    <row r="1097" spans="1:17" ht="14.4">
      <c r="A1097" s="6" t="s">
        <v>1629</v>
      </c>
      <c r="B1097" s="7"/>
      <c r="C1097" s="6"/>
      <c r="H1097" s="9"/>
      <c r="I1097" s="11"/>
      <c r="J1097" s="11"/>
      <c r="K1097" s="11"/>
      <c r="L1097" s="10" t="s">
        <v>124</v>
      </c>
    </row>
    <row r="1098" spans="1:17" ht="14.4">
      <c r="A1098" s="6" t="s">
        <v>1630</v>
      </c>
      <c r="B1098" s="32"/>
      <c r="C1098" s="17" t="s">
        <v>1631</v>
      </c>
      <c r="E1098" s="21" t="s">
        <v>132</v>
      </c>
      <c r="H1098" s="22"/>
      <c r="I1098" s="11"/>
      <c r="J1098" s="11"/>
      <c r="K1098" s="11"/>
      <c r="L1098" s="11"/>
      <c r="P1098" s="14"/>
    </row>
    <row r="1099" spans="1:17" ht="14.4">
      <c r="A1099" s="14" t="s">
        <v>1632</v>
      </c>
      <c r="B1099" s="13" t="s">
        <v>1633</v>
      </c>
      <c r="C1099" s="47" t="s">
        <v>1634</v>
      </c>
      <c r="D1099" s="15">
        <v>41000</v>
      </c>
      <c r="E1099" s="14"/>
      <c r="F1099" s="15">
        <v>41426</v>
      </c>
      <c r="G1099" s="14"/>
      <c r="H1099" s="20">
        <v>41395</v>
      </c>
      <c r="I1099" s="10"/>
      <c r="J1099" s="10"/>
      <c r="K1099" s="10"/>
      <c r="L1099" s="10"/>
      <c r="M1099" s="14"/>
      <c r="N1099" s="14"/>
      <c r="O1099" s="14"/>
      <c r="P1099" s="14"/>
    </row>
    <row r="1100" spans="1:17" ht="14.4">
      <c r="A1100" s="6" t="s">
        <v>1635</v>
      </c>
      <c r="B1100" s="17">
        <v>1134243750</v>
      </c>
      <c r="C1100" s="17" t="s">
        <v>1636</v>
      </c>
      <c r="D1100" s="49">
        <v>43421</v>
      </c>
      <c r="H1100" s="22"/>
      <c r="I1100" s="11"/>
      <c r="J1100" s="11"/>
      <c r="K1100" s="11"/>
      <c r="L1100" s="11"/>
      <c r="P1100" s="14"/>
    </row>
    <row r="1101" spans="1:17" ht="14.4">
      <c r="A1101" s="9" t="s">
        <v>1637</v>
      </c>
      <c r="B1101" s="30">
        <v>1164661574</v>
      </c>
      <c r="C1101" s="9" t="s">
        <v>1638</v>
      </c>
      <c r="H1101" s="40">
        <v>45252</v>
      </c>
      <c r="I1101" s="11"/>
      <c r="J1101" s="11"/>
      <c r="K1101" s="11"/>
      <c r="L1101" s="11"/>
    </row>
    <row r="1102" spans="1:17" ht="14.4">
      <c r="A1102" s="6" t="s">
        <v>1639</v>
      </c>
      <c r="B1102" s="7"/>
      <c r="C1102" s="6"/>
      <c r="H1102" s="9"/>
      <c r="I1102" s="11"/>
      <c r="J1102" s="11"/>
      <c r="K1102" s="11"/>
      <c r="L1102" s="11"/>
      <c r="Q1102" s="16">
        <v>45985</v>
      </c>
    </row>
    <row r="1103" spans="1:17" ht="14.4">
      <c r="A1103" s="14" t="s">
        <v>1640</v>
      </c>
      <c r="B1103" s="14"/>
      <c r="C1103" s="19" t="str">
        <f>HYPERLINK("mailto:martiboscolo@gmail.com","martiboscolo@gmail.com")</f>
        <v>martiboscolo@gmail.com</v>
      </c>
      <c r="D1103" s="14"/>
      <c r="E1103" s="15">
        <v>41518</v>
      </c>
      <c r="F1103" s="14"/>
      <c r="G1103" s="14"/>
      <c r="H1103" s="10"/>
      <c r="I1103" s="10"/>
      <c r="J1103" s="10"/>
      <c r="K1103" s="10"/>
      <c r="L1103" s="10"/>
      <c r="M1103" s="14"/>
      <c r="N1103" s="14"/>
      <c r="O1103" s="14"/>
      <c r="P1103" s="14"/>
    </row>
    <row r="1104" spans="1:17" ht="14.4">
      <c r="A1104" s="6" t="s">
        <v>1641</v>
      </c>
      <c r="B1104" s="7"/>
      <c r="C1104" s="6" t="s">
        <v>1642</v>
      </c>
      <c r="H1104" s="17" t="s">
        <v>19</v>
      </c>
      <c r="I1104" s="11"/>
      <c r="J1104" s="11"/>
      <c r="K1104" s="11"/>
      <c r="L1104" s="11"/>
    </row>
    <row r="1105" spans="1:17" ht="14.4">
      <c r="A1105" s="6" t="s">
        <v>1641</v>
      </c>
      <c r="B1105" s="7"/>
      <c r="C1105" s="6" t="s">
        <v>1642</v>
      </c>
      <c r="H1105" s="9"/>
      <c r="I1105" s="10" t="s">
        <v>20</v>
      </c>
      <c r="J1105" s="11"/>
      <c r="K1105" s="11"/>
      <c r="L1105" s="11"/>
    </row>
    <row r="1106" spans="1:17" ht="14.4">
      <c r="A1106" s="14" t="s">
        <v>1643</v>
      </c>
      <c r="B1106" s="14" t="s">
        <v>1644</v>
      </c>
      <c r="C1106" s="19" t="str">
        <f>HYPERLINK("mailto:lareinademarte@me.com","lareinademarte@me.com")</f>
        <v>lareinademarte@me.com</v>
      </c>
      <c r="D1106" s="15">
        <v>41579</v>
      </c>
      <c r="E1106" s="14"/>
      <c r="F1106" s="15">
        <v>41760</v>
      </c>
      <c r="G1106" s="15">
        <v>41852</v>
      </c>
      <c r="H1106" s="20">
        <v>41821</v>
      </c>
      <c r="I1106" s="10"/>
      <c r="J1106" s="10"/>
      <c r="K1106" s="10"/>
      <c r="L1106" s="10"/>
      <c r="M1106" s="14"/>
      <c r="N1106" s="14"/>
      <c r="O1106" s="14"/>
      <c r="P1106" s="14"/>
    </row>
    <row r="1107" spans="1:17" ht="14.4">
      <c r="A1107" s="6" t="s">
        <v>1645</v>
      </c>
      <c r="B1107" s="7"/>
      <c r="C1107" s="6" t="s">
        <v>1646</v>
      </c>
      <c r="H1107" s="9" t="s">
        <v>67</v>
      </c>
      <c r="I1107" s="11"/>
      <c r="J1107" s="11"/>
      <c r="K1107" s="11"/>
      <c r="L1107" s="11"/>
    </row>
    <row r="1108" spans="1:17" ht="14.4">
      <c r="A1108" s="6" t="s">
        <v>1647</v>
      </c>
      <c r="B1108" s="7"/>
      <c r="C1108" s="6" t="s">
        <v>1648</v>
      </c>
      <c r="H1108" s="69" t="s">
        <v>269</v>
      </c>
      <c r="I1108" s="11"/>
      <c r="J1108" s="11"/>
      <c r="K1108" s="11"/>
      <c r="L1108" s="11"/>
    </row>
    <row r="1109" spans="1:17" ht="14.4">
      <c r="A1109" s="6" t="s">
        <v>1649</v>
      </c>
      <c r="B1109" s="7"/>
      <c r="C1109" s="7"/>
      <c r="H1109" s="9"/>
      <c r="I1109" s="11"/>
      <c r="J1109" s="11"/>
      <c r="K1109" s="11"/>
      <c r="L1109" s="11"/>
      <c r="Q1109" s="16">
        <v>45713</v>
      </c>
    </row>
    <row r="1110" spans="1:17" ht="14.4">
      <c r="A1110" s="6" t="s">
        <v>1650</v>
      </c>
      <c r="B1110" s="7"/>
      <c r="C1110" s="7"/>
      <c r="H1110" s="9"/>
      <c r="I1110" s="11"/>
      <c r="J1110" s="10" t="s">
        <v>35</v>
      </c>
      <c r="K1110" s="11"/>
      <c r="L1110" s="11"/>
    </row>
    <row r="1111" spans="1:17" ht="14.4">
      <c r="A1111" s="6" t="s">
        <v>1651</v>
      </c>
      <c r="B1111" s="7"/>
      <c r="C1111" s="7"/>
      <c r="H1111" s="9"/>
      <c r="I1111" s="11"/>
      <c r="J1111" s="11"/>
      <c r="K1111" s="11"/>
      <c r="L1111" s="11"/>
      <c r="Q1111" s="12" t="s">
        <v>22</v>
      </c>
    </row>
    <row r="1112" spans="1:17" ht="14.4">
      <c r="A1112" s="14" t="s">
        <v>1652</v>
      </c>
      <c r="B1112" s="14" t="s">
        <v>1653</v>
      </c>
      <c r="C1112" s="19" t="str">
        <f>HYPERLINK("mailto:mjpellegrini@hotmail.com","mjpellegrini@hotmail.com")</f>
        <v>mjpellegrini@hotmail.com</v>
      </c>
      <c r="D1112" s="15">
        <v>41579</v>
      </c>
      <c r="E1112" s="14"/>
      <c r="F1112" s="14"/>
      <c r="G1112" s="14"/>
      <c r="H1112" s="10"/>
      <c r="I1112" s="10"/>
      <c r="J1112" s="10"/>
      <c r="K1112" s="10"/>
      <c r="L1112" s="10"/>
      <c r="M1112" s="14"/>
      <c r="N1112" s="14"/>
      <c r="O1112" s="14"/>
      <c r="P1112" s="14"/>
    </row>
    <row r="1113" spans="1:17" ht="14.4">
      <c r="A1113" s="14" t="s">
        <v>1654</v>
      </c>
      <c r="B1113" s="14" t="s">
        <v>1655</v>
      </c>
      <c r="C1113" s="19" t="str">
        <f>HYPERLINK("mailto:maximiliano_freire@hotmail.com","maximiliano_freire@hotmail.com")</f>
        <v>maximiliano_freire@hotmail.com</v>
      </c>
      <c r="D1113" s="15">
        <v>40603</v>
      </c>
      <c r="E1113" s="14"/>
      <c r="F1113" s="15">
        <v>40756</v>
      </c>
      <c r="G1113" s="14"/>
      <c r="H1113" s="10"/>
      <c r="I1113" s="10"/>
      <c r="J1113" s="10"/>
      <c r="K1113" s="10"/>
      <c r="L1113" s="10"/>
      <c r="M1113" s="14"/>
      <c r="N1113" s="14"/>
      <c r="O1113" s="14"/>
      <c r="P1113" s="14"/>
    </row>
    <row r="1114" spans="1:17" ht="14.4">
      <c r="A1114" s="13" t="s">
        <v>1656</v>
      </c>
      <c r="B1114" s="13">
        <v>1536291740</v>
      </c>
      <c r="C1114" s="13" t="s">
        <v>1657</v>
      </c>
      <c r="D1114" s="15">
        <v>40817</v>
      </c>
      <c r="E1114" s="14"/>
      <c r="F1114" s="14"/>
      <c r="G1114" s="14"/>
      <c r="H1114" s="10"/>
      <c r="I1114" s="10"/>
      <c r="J1114" s="10"/>
      <c r="K1114" s="10"/>
      <c r="L1114" s="10"/>
      <c r="M1114" s="14"/>
      <c r="N1114" s="14"/>
      <c r="O1114" s="14"/>
      <c r="P1114" s="14"/>
    </row>
    <row r="1115" spans="1:17" ht="14.4">
      <c r="A1115" s="9" t="s">
        <v>1658</v>
      </c>
      <c r="B1115" s="30">
        <v>3516367711</v>
      </c>
      <c r="C1115" s="9" t="s">
        <v>1659</v>
      </c>
      <c r="H1115" s="53" t="s">
        <v>220</v>
      </c>
      <c r="I1115" s="11"/>
      <c r="J1115" s="11"/>
      <c r="K1115" s="11"/>
      <c r="L1115" s="11"/>
    </row>
    <row r="1116" spans="1:17" ht="14.4">
      <c r="A1116" s="14" t="s">
        <v>1660</v>
      </c>
      <c r="B1116" s="13">
        <v>1540967855</v>
      </c>
      <c r="C1116" s="14" t="s">
        <v>1661</v>
      </c>
      <c r="D1116" s="15">
        <v>42095</v>
      </c>
      <c r="E1116" s="14"/>
      <c r="F1116" s="14"/>
      <c r="G1116" s="14"/>
      <c r="H1116" s="10"/>
      <c r="I1116" s="10"/>
      <c r="J1116" s="10"/>
      <c r="K1116" s="10"/>
      <c r="L1116" s="10"/>
      <c r="M1116" s="14"/>
      <c r="N1116" s="14"/>
      <c r="O1116" s="14"/>
      <c r="P1116" s="14"/>
    </row>
    <row r="1117" spans="1:17" ht="14.7">
      <c r="A1117" s="9" t="s">
        <v>1662</v>
      </c>
      <c r="B1117" s="102">
        <v>1557191906</v>
      </c>
      <c r="C1117" s="17" t="s">
        <v>1663</v>
      </c>
      <c r="D1117" s="49">
        <v>43421</v>
      </c>
      <c r="H1117" s="22"/>
      <c r="I1117" s="11"/>
      <c r="J1117" s="11"/>
      <c r="K1117" s="11"/>
      <c r="L1117" s="11"/>
      <c r="P1117" s="14"/>
    </row>
    <row r="1118" spans="1:17" ht="14.4">
      <c r="A1118" s="6" t="s">
        <v>1664</v>
      </c>
      <c r="B1118" s="6" t="s">
        <v>103</v>
      </c>
      <c r="C1118" s="6" t="s">
        <v>1665</v>
      </c>
      <c r="H1118" s="40">
        <v>45252</v>
      </c>
      <c r="I1118" s="11"/>
      <c r="J1118" s="11"/>
      <c r="K1118" s="11"/>
      <c r="L1118" s="11"/>
    </row>
    <row r="1119" spans="1:17" ht="14.4">
      <c r="A1119" s="14" t="s">
        <v>1666</v>
      </c>
      <c r="B1119" s="14" t="s">
        <v>1667</v>
      </c>
      <c r="C1119" s="19" t="str">
        <f>HYPERLINK("mailto:melisafischman@gmail.com","melisafischman@gmail.com")</f>
        <v>melisafischman@gmail.com</v>
      </c>
      <c r="D1119" s="15">
        <v>41579</v>
      </c>
      <c r="E1119" s="14"/>
      <c r="F1119" s="14"/>
      <c r="G1119" s="14"/>
      <c r="H1119" s="10"/>
      <c r="I1119" s="10"/>
      <c r="J1119" s="10"/>
      <c r="K1119" s="10"/>
      <c r="L1119" s="10"/>
      <c r="M1119" s="14"/>
      <c r="N1119" s="14"/>
      <c r="O1119" s="14"/>
      <c r="P1119" s="14"/>
    </row>
    <row r="1120" spans="1:17" ht="14.4">
      <c r="A1120" s="53" t="s">
        <v>1668</v>
      </c>
      <c r="B1120" s="38" t="s">
        <v>1669</v>
      </c>
      <c r="C1120" s="25" t="s">
        <v>1670</v>
      </c>
      <c r="D1120" s="21" t="s">
        <v>355</v>
      </c>
      <c r="H1120" s="22"/>
      <c r="I1120" s="11"/>
      <c r="J1120" s="11"/>
      <c r="K1120" s="11"/>
      <c r="L1120" s="11"/>
    </row>
    <row r="1121" spans="1:16" ht="14.4">
      <c r="A1121" s="14" t="s">
        <v>1671</v>
      </c>
      <c r="B1121" s="14" t="s">
        <v>1672</v>
      </c>
      <c r="C1121" s="19" t="str">
        <f>HYPERLINK("mailto:mechi_lapibadelosastilleros@hotmail.com","mechi_lapibadelosastilleros@hotmail.com")</f>
        <v>mechi_lapibadelosastilleros@hotmail.com</v>
      </c>
      <c r="D1121" s="15">
        <v>41061</v>
      </c>
      <c r="E1121" s="14"/>
      <c r="F1121" s="14"/>
      <c r="G1121" s="14"/>
      <c r="H1121" s="10"/>
      <c r="I1121" s="10"/>
      <c r="J1121" s="10"/>
      <c r="K1121" s="10"/>
      <c r="L1121" s="10"/>
      <c r="M1121" s="14"/>
      <c r="N1121" s="14"/>
      <c r="O1121" s="14"/>
      <c r="P1121" s="14"/>
    </row>
    <row r="1122" spans="1:16" ht="14.4">
      <c r="A1122" s="14" t="s">
        <v>1673</v>
      </c>
      <c r="B1122" s="14"/>
      <c r="C1122" s="14" t="s">
        <v>1674</v>
      </c>
      <c r="D1122" s="14"/>
      <c r="E1122" s="15">
        <v>41456</v>
      </c>
      <c r="F1122" s="14"/>
      <c r="G1122" s="14"/>
      <c r="H1122" s="10"/>
      <c r="I1122" s="10"/>
      <c r="J1122" s="10"/>
      <c r="K1122" s="10"/>
      <c r="L1122" s="10"/>
      <c r="M1122" s="14"/>
      <c r="N1122" s="14"/>
      <c r="O1122" s="14"/>
      <c r="P1122" s="14"/>
    </row>
    <row r="1123" spans="1:16" ht="14.4">
      <c r="A1123" s="13" t="s">
        <v>1675</v>
      </c>
      <c r="B1123" s="13"/>
      <c r="C1123" s="13" t="s">
        <v>1676</v>
      </c>
      <c r="D1123" s="15">
        <v>40817</v>
      </c>
      <c r="E1123" s="14"/>
      <c r="F1123" s="14"/>
      <c r="G1123" s="14"/>
      <c r="H1123" s="10"/>
      <c r="I1123" s="10"/>
      <c r="J1123" s="10"/>
      <c r="K1123" s="10"/>
      <c r="L1123" s="10"/>
      <c r="M1123" s="14"/>
      <c r="N1123" s="14"/>
      <c r="O1123" s="14"/>
      <c r="P1123" s="14"/>
    </row>
    <row r="1124" spans="1:16" ht="14.4">
      <c r="A1124" s="6" t="s">
        <v>1677</v>
      </c>
      <c r="B1124" s="7"/>
      <c r="C1124" s="6" t="s">
        <v>1678</v>
      </c>
      <c r="H1124" s="42">
        <v>45222</v>
      </c>
      <c r="I1124" s="11"/>
      <c r="J1124" s="11"/>
      <c r="K1124" s="11"/>
      <c r="L1124" s="11"/>
    </row>
    <row r="1125" spans="1:16" ht="14.4">
      <c r="A1125" s="14" t="s">
        <v>1679</v>
      </c>
      <c r="B1125" s="14" t="s">
        <v>1680</v>
      </c>
      <c r="C1125" s="14" t="s">
        <v>1681</v>
      </c>
      <c r="D1125" s="15">
        <v>41091</v>
      </c>
      <c r="E1125" s="14"/>
      <c r="F1125" s="14"/>
      <c r="G1125" s="14"/>
      <c r="H1125" s="10"/>
      <c r="I1125" s="10"/>
      <c r="J1125" s="10"/>
      <c r="K1125" s="10"/>
      <c r="L1125" s="10"/>
      <c r="M1125" s="14"/>
      <c r="N1125" s="14"/>
      <c r="O1125" s="14"/>
      <c r="P1125" s="14"/>
    </row>
    <row r="1126" spans="1:16" ht="14.4">
      <c r="A1126" s="14" t="s">
        <v>1682</v>
      </c>
      <c r="B1126" s="14" t="s">
        <v>1683</v>
      </c>
      <c r="C1126" s="14" t="s">
        <v>1684</v>
      </c>
      <c r="D1126" s="14"/>
      <c r="E1126" s="15">
        <v>41306</v>
      </c>
      <c r="F1126" s="15">
        <v>41913</v>
      </c>
      <c r="G1126" s="15">
        <v>42064</v>
      </c>
      <c r="H1126" s="10"/>
      <c r="I1126" s="10"/>
      <c r="J1126" s="10"/>
      <c r="K1126" s="10"/>
      <c r="L1126" s="10"/>
      <c r="M1126" s="14"/>
      <c r="N1126" s="14">
        <v>2015</v>
      </c>
      <c r="O1126" s="14"/>
      <c r="P1126" s="14"/>
    </row>
    <row r="1127" spans="1:16" ht="14.4">
      <c r="A1127" s="6" t="s">
        <v>1685</v>
      </c>
      <c r="B1127" s="7"/>
      <c r="C1127" s="6"/>
      <c r="H1127" s="9" t="s">
        <v>30</v>
      </c>
      <c r="I1127" s="10" t="s">
        <v>31</v>
      </c>
      <c r="J1127" s="11"/>
      <c r="K1127" s="11"/>
      <c r="L1127" s="11"/>
    </row>
    <row r="1128" spans="1:16" ht="14.4">
      <c r="A1128" s="6" t="s">
        <v>1686</v>
      </c>
      <c r="B1128" s="7"/>
      <c r="C1128" s="7"/>
      <c r="H1128" s="9"/>
      <c r="I1128" s="11"/>
      <c r="J1128" s="11"/>
      <c r="K1128" s="11" t="s">
        <v>159</v>
      </c>
      <c r="L1128" s="11"/>
    </row>
    <row r="1129" spans="1:16" ht="14.4">
      <c r="A1129" s="13" t="s">
        <v>1687</v>
      </c>
      <c r="B1129" s="13">
        <v>1550033339</v>
      </c>
      <c r="C1129" s="13" t="s">
        <v>1688</v>
      </c>
      <c r="D1129" s="21" t="s">
        <v>256</v>
      </c>
      <c r="E1129" s="14"/>
      <c r="F1129" s="14"/>
      <c r="G1129" s="14"/>
      <c r="H1129" s="23" t="s">
        <v>934</v>
      </c>
      <c r="I1129" s="10"/>
      <c r="J1129" s="10"/>
      <c r="K1129" s="10"/>
      <c r="L1129" s="10"/>
      <c r="M1129" s="14"/>
      <c r="N1129" s="14"/>
      <c r="O1129" s="15">
        <v>42856</v>
      </c>
      <c r="P1129" s="14"/>
    </row>
    <row r="1130" spans="1:16" ht="14.4">
      <c r="A1130" s="6" t="s">
        <v>1689</v>
      </c>
      <c r="B1130" s="7"/>
      <c r="C1130" s="6"/>
      <c r="H1130" s="9" t="s">
        <v>50</v>
      </c>
      <c r="I1130" s="11"/>
      <c r="J1130" s="11"/>
      <c r="K1130" s="11"/>
      <c r="L1130" s="11"/>
    </row>
    <row r="1131" spans="1:16" ht="14.4">
      <c r="A1131" s="14" t="s">
        <v>1690</v>
      </c>
      <c r="B1131" s="14" t="s">
        <v>1691</v>
      </c>
      <c r="C1131" s="19" t="str">
        <f>HYPERLINK("mailto:alonsomicaela@gmail.com","alonsomicaela@gmail.com")</f>
        <v>alonsomicaela@gmail.com</v>
      </c>
      <c r="D1131" s="15">
        <v>40664</v>
      </c>
      <c r="E1131" s="14"/>
      <c r="F1131" s="14"/>
      <c r="G1131" s="14"/>
      <c r="H1131" s="10"/>
      <c r="I1131" s="10"/>
      <c r="J1131" s="10"/>
      <c r="K1131" s="10"/>
      <c r="L1131" s="10"/>
      <c r="M1131" s="14"/>
      <c r="N1131" s="14"/>
      <c r="O1131" s="14"/>
      <c r="P1131" s="14"/>
    </row>
    <row r="1132" spans="1:16" ht="14.4">
      <c r="A1132" s="14" t="s">
        <v>1692</v>
      </c>
      <c r="B1132" s="13">
        <v>1558244156</v>
      </c>
      <c r="C1132" s="13" t="s">
        <v>1693</v>
      </c>
      <c r="D1132" s="15">
        <v>42856</v>
      </c>
      <c r="E1132" s="14"/>
      <c r="F1132" s="14"/>
      <c r="G1132" s="14"/>
      <c r="H1132" s="10"/>
      <c r="I1132" s="10"/>
      <c r="J1132" s="10"/>
      <c r="K1132" s="10"/>
      <c r="L1132" s="10"/>
      <c r="M1132" s="14"/>
      <c r="N1132" s="14"/>
      <c r="O1132" s="14"/>
      <c r="P1132" s="14"/>
    </row>
    <row r="1133" spans="1:16" ht="14.4">
      <c r="A1133" s="13" t="s">
        <v>1694</v>
      </c>
      <c r="B1133" s="13">
        <v>2975157376</v>
      </c>
      <c r="C1133" s="13" t="s">
        <v>1695</v>
      </c>
      <c r="D1133" s="14"/>
      <c r="E1133" s="49">
        <v>42903</v>
      </c>
      <c r="F1133" s="14"/>
      <c r="G1133" s="14"/>
      <c r="H1133" s="10"/>
      <c r="I1133" s="10"/>
      <c r="J1133" s="10"/>
      <c r="K1133" s="10"/>
      <c r="L1133" s="10"/>
      <c r="M1133" s="14"/>
      <c r="N1133" s="14"/>
      <c r="O1133" s="14"/>
      <c r="P1133" s="14"/>
    </row>
    <row r="1134" spans="1:16" ht="14.4">
      <c r="A1134" s="6" t="s">
        <v>1696</v>
      </c>
      <c r="B1134" s="7"/>
      <c r="C1134" s="7"/>
      <c r="H1134" s="9" t="s">
        <v>123</v>
      </c>
      <c r="I1134" s="11"/>
      <c r="J1134" s="11"/>
      <c r="K1134" s="11"/>
      <c r="L1134" s="11"/>
    </row>
    <row r="1135" spans="1:16" ht="14.4">
      <c r="A1135" s="14" t="s">
        <v>1697</v>
      </c>
      <c r="B1135" s="13">
        <v>1563541162</v>
      </c>
      <c r="C1135" s="13" t="s">
        <v>1698</v>
      </c>
      <c r="D1135" s="21" t="s">
        <v>177</v>
      </c>
      <c r="E1135" s="14"/>
      <c r="F1135" s="14"/>
      <c r="G1135" s="14"/>
      <c r="H1135" s="10"/>
      <c r="I1135" s="10"/>
      <c r="J1135" s="10"/>
      <c r="K1135" s="10"/>
      <c r="L1135" s="10"/>
      <c r="M1135" s="14"/>
      <c r="N1135" s="14"/>
      <c r="O1135" s="14"/>
      <c r="P1135" s="14"/>
    </row>
    <row r="1136" spans="1:16" ht="14.4">
      <c r="A1136" s="14" t="s">
        <v>1699</v>
      </c>
      <c r="B1136" s="14"/>
      <c r="C1136" s="19" t="str">
        <f>HYPERLINK("mailto:micatartara@hotmail.com","micatartara@hotmail.com")</f>
        <v>micatartara@hotmail.com</v>
      </c>
      <c r="D1136" s="14"/>
      <c r="E1136" s="15">
        <v>41671</v>
      </c>
      <c r="F1136" s="14"/>
      <c r="G1136" s="14"/>
      <c r="H1136" s="10"/>
      <c r="I1136" s="10"/>
      <c r="J1136" s="10"/>
      <c r="K1136" s="10"/>
      <c r="L1136" s="10"/>
      <c r="M1136" s="14"/>
      <c r="N1136" s="14"/>
      <c r="O1136" s="14"/>
      <c r="P1136" s="14"/>
    </row>
    <row r="1137" spans="1:16" ht="14.4">
      <c r="A1137" s="6" t="s">
        <v>1700</v>
      </c>
      <c r="B1137" s="7"/>
      <c r="C1137" s="6"/>
      <c r="H1137" s="9" t="s">
        <v>30</v>
      </c>
      <c r="I1137" s="10" t="s">
        <v>31</v>
      </c>
      <c r="J1137" s="11"/>
      <c r="K1137" s="11"/>
      <c r="L1137" s="11"/>
    </row>
    <row r="1138" spans="1:16" ht="14.4">
      <c r="A1138" s="9" t="s">
        <v>1700</v>
      </c>
      <c r="B1138" s="7"/>
      <c r="C1138" s="6"/>
      <c r="H1138" s="9"/>
      <c r="I1138" s="11"/>
      <c r="J1138" s="10" t="s">
        <v>49</v>
      </c>
      <c r="K1138" s="11"/>
      <c r="L1138" s="11"/>
    </row>
    <row r="1139" spans="1:16" ht="14.4">
      <c r="A1139" s="6" t="s">
        <v>1701</v>
      </c>
      <c r="B1139" s="7"/>
      <c r="C1139" s="6" t="s">
        <v>1702</v>
      </c>
      <c r="H1139" s="17" t="s">
        <v>19</v>
      </c>
      <c r="I1139" s="11"/>
      <c r="J1139" s="11"/>
      <c r="K1139" s="11"/>
      <c r="L1139" s="11"/>
    </row>
    <row r="1140" spans="1:16" ht="14.4">
      <c r="A1140" s="6" t="s">
        <v>1701</v>
      </c>
      <c r="B1140" s="7"/>
      <c r="C1140" s="6" t="s">
        <v>1702</v>
      </c>
      <c r="H1140" s="9"/>
      <c r="I1140" s="10" t="s">
        <v>20</v>
      </c>
      <c r="J1140" s="11"/>
      <c r="K1140" s="11"/>
      <c r="L1140" s="11"/>
    </row>
    <row r="1141" spans="1:16" ht="14.4">
      <c r="A1141" s="6" t="s">
        <v>1703</v>
      </c>
      <c r="B1141" s="6" t="s">
        <v>103</v>
      </c>
      <c r="C1141" s="7"/>
      <c r="H1141" s="40">
        <v>45252</v>
      </c>
      <c r="I1141" s="11"/>
      <c r="J1141" s="11"/>
      <c r="K1141" s="11"/>
      <c r="L1141" s="11"/>
    </row>
    <row r="1142" spans="1:16" ht="14.4">
      <c r="A1142" s="6" t="s">
        <v>1704</v>
      </c>
      <c r="B1142" s="7"/>
      <c r="C1142" s="7"/>
      <c r="H1142" s="22"/>
      <c r="I1142" s="11"/>
      <c r="J1142" s="11"/>
      <c r="K1142" s="11"/>
      <c r="L1142" s="11"/>
      <c r="P1142" s="12" t="s">
        <v>194</v>
      </c>
    </row>
    <row r="1143" spans="1:16" ht="14.4">
      <c r="A1143" s="6" t="s">
        <v>1704</v>
      </c>
      <c r="B1143" s="7"/>
      <c r="C1143" s="7"/>
      <c r="H1143" s="57" t="s">
        <v>294</v>
      </c>
      <c r="I1143" s="11"/>
      <c r="J1143" s="11"/>
      <c r="K1143" s="11"/>
      <c r="L1143" s="11"/>
    </row>
    <row r="1144" spans="1:16" ht="14.4">
      <c r="A1144" s="6" t="s">
        <v>1704</v>
      </c>
      <c r="B1144" s="7"/>
      <c r="C1144" s="7"/>
      <c r="H1144" s="22"/>
      <c r="I1144" s="43" t="s">
        <v>295</v>
      </c>
      <c r="J1144" s="11"/>
      <c r="K1144" s="11"/>
      <c r="L1144" s="11"/>
    </row>
    <row r="1145" spans="1:16" ht="14.4">
      <c r="A1145" s="14" t="s">
        <v>1705</v>
      </c>
      <c r="B1145" s="14" t="s">
        <v>1706</v>
      </c>
      <c r="C1145" s="14" t="s">
        <v>1707</v>
      </c>
      <c r="D1145" s="14"/>
      <c r="E1145" s="14"/>
      <c r="F1145" s="14"/>
      <c r="G1145" s="14"/>
      <c r="H1145" s="20">
        <v>41883</v>
      </c>
      <c r="I1145" s="20">
        <v>42125</v>
      </c>
      <c r="J1145" s="20"/>
      <c r="K1145" s="20"/>
      <c r="L1145" s="20"/>
      <c r="M1145" s="14"/>
      <c r="N1145" s="14"/>
      <c r="O1145" s="14"/>
      <c r="P1145" s="14"/>
    </row>
    <row r="1146" spans="1:16" ht="14.4">
      <c r="A1146" s="6" t="s">
        <v>1708</v>
      </c>
      <c r="B1146" s="7"/>
      <c r="C1146" s="6"/>
      <c r="H1146" s="9" t="s">
        <v>51</v>
      </c>
      <c r="I1146" s="11"/>
      <c r="J1146" s="11"/>
      <c r="K1146" s="11"/>
      <c r="L1146" s="11"/>
    </row>
    <row r="1147" spans="1:16" ht="14.4">
      <c r="A1147" s="13" t="s">
        <v>1709</v>
      </c>
      <c r="B1147" s="13" t="s">
        <v>1710</v>
      </c>
      <c r="C1147" s="13" t="s">
        <v>1711</v>
      </c>
      <c r="D1147" s="15">
        <v>40817</v>
      </c>
      <c r="E1147" s="14"/>
      <c r="F1147" s="14"/>
      <c r="G1147" s="14"/>
      <c r="H1147" s="10"/>
      <c r="I1147" s="10"/>
      <c r="J1147" s="10"/>
      <c r="K1147" s="10"/>
      <c r="L1147" s="10"/>
      <c r="M1147" s="14"/>
      <c r="N1147" s="14"/>
      <c r="O1147" s="14"/>
      <c r="P1147" s="14"/>
    </row>
    <row r="1148" spans="1:16" ht="14.4">
      <c r="A1148" s="14" t="s">
        <v>1712</v>
      </c>
      <c r="B1148" s="14" t="s">
        <v>1713</v>
      </c>
      <c r="C1148" s="14" t="s">
        <v>1714</v>
      </c>
      <c r="D1148" s="15">
        <v>41030</v>
      </c>
      <c r="E1148" s="14"/>
      <c r="F1148" s="15">
        <v>41122</v>
      </c>
      <c r="G1148" s="14"/>
      <c r="H1148" s="10"/>
      <c r="I1148" s="10"/>
      <c r="J1148" s="10"/>
      <c r="K1148" s="10"/>
      <c r="L1148" s="10"/>
      <c r="M1148" s="14"/>
      <c r="N1148" s="14"/>
      <c r="O1148" s="14"/>
      <c r="P1148" s="14"/>
    </row>
    <row r="1149" spans="1:16" ht="14.4">
      <c r="A1149" s="6" t="s">
        <v>1715</v>
      </c>
      <c r="B1149" s="7"/>
      <c r="C1149" s="6" t="s">
        <v>1716</v>
      </c>
      <c r="H1149" s="9"/>
      <c r="I1149" s="41">
        <v>45253</v>
      </c>
      <c r="J1149" s="11"/>
      <c r="K1149" s="11"/>
      <c r="L1149" s="11"/>
    </row>
    <row r="1150" spans="1:16" ht="14.4">
      <c r="A1150" s="6" t="s">
        <v>1717</v>
      </c>
      <c r="B1150" s="7"/>
      <c r="C1150" s="6"/>
      <c r="H1150" s="9" t="s">
        <v>30</v>
      </c>
      <c r="I1150" s="10" t="s">
        <v>31</v>
      </c>
      <c r="J1150" s="11"/>
      <c r="K1150" s="11"/>
      <c r="L1150" s="11"/>
    </row>
    <row r="1151" spans="1:16" ht="14.4">
      <c r="A1151" s="9" t="s">
        <v>1717</v>
      </c>
      <c r="B1151" s="7"/>
      <c r="C1151" s="6"/>
      <c r="H1151" s="9"/>
      <c r="I1151" s="11"/>
      <c r="J1151" s="10" t="s">
        <v>49</v>
      </c>
      <c r="K1151" s="11"/>
      <c r="L1151" s="11"/>
    </row>
    <row r="1152" spans="1:16" ht="14.4">
      <c r="A1152" s="9" t="s">
        <v>1718</v>
      </c>
      <c r="B1152" s="30">
        <v>2364301254</v>
      </c>
      <c r="C1152" s="9" t="s">
        <v>1719</v>
      </c>
      <c r="H1152" s="22"/>
      <c r="I1152" s="11"/>
      <c r="J1152" s="11"/>
      <c r="K1152" s="10" t="s">
        <v>74</v>
      </c>
      <c r="L1152" s="11"/>
    </row>
    <row r="1153" spans="1:16" ht="14.4">
      <c r="A1153" s="6" t="s">
        <v>1718</v>
      </c>
      <c r="B1153" s="7"/>
      <c r="C1153" s="7"/>
      <c r="H1153" s="9"/>
      <c r="I1153" s="11"/>
      <c r="J1153" s="11"/>
      <c r="K1153" s="11"/>
      <c r="L1153" s="11" t="s">
        <v>75</v>
      </c>
    </row>
    <row r="1154" spans="1:16" ht="14.4">
      <c r="A1154" s="6" t="s">
        <v>1718</v>
      </c>
      <c r="B1154" s="7"/>
      <c r="C1154" s="6"/>
      <c r="H1154" s="9"/>
      <c r="I1154" s="11"/>
      <c r="J1154" s="11"/>
      <c r="K1154" s="11"/>
      <c r="L1154" s="11"/>
      <c r="P1154" s="7" t="s">
        <v>49</v>
      </c>
    </row>
    <row r="1155" spans="1:16" ht="14.4">
      <c r="A1155" s="10" t="s">
        <v>1720</v>
      </c>
      <c r="B1155" s="17">
        <v>2494590223</v>
      </c>
      <c r="C1155" s="10" t="s">
        <v>1721</v>
      </c>
      <c r="D1155" s="14"/>
      <c r="E1155" s="14"/>
      <c r="F1155" s="14"/>
      <c r="G1155" s="6"/>
      <c r="H1155" s="30" t="s">
        <v>71</v>
      </c>
      <c r="I1155" s="17" t="s">
        <v>72</v>
      </c>
      <c r="J1155" s="30" t="s">
        <v>73</v>
      </c>
      <c r="K1155" s="11"/>
      <c r="L1155" s="11"/>
      <c r="P1155" s="14"/>
    </row>
    <row r="1156" spans="1:16" ht="14.4">
      <c r="A1156" s="6" t="s">
        <v>1722</v>
      </c>
      <c r="B1156" s="7"/>
      <c r="C1156" s="6"/>
      <c r="H1156" s="9" t="s">
        <v>51</v>
      </c>
      <c r="I1156" s="11"/>
      <c r="J1156" s="11"/>
      <c r="K1156" s="11"/>
      <c r="L1156" s="11"/>
    </row>
    <row r="1157" spans="1:16" ht="14.4">
      <c r="A1157" s="6" t="s">
        <v>1722</v>
      </c>
      <c r="B1157" s="7"/>
      <c r="C1157" s="6"/>
      <c r="H1157" s="9"/>
      <c r="I1157" s="41">
        <v>45954</v>
      </c>
      <c r="J1157" s="11"/>
      <c r="K1157" s="11"/>
      <c r="L1157" s="11"/>
    </row>
    <row r="1158" spans="1:16" ht="14.4">
      <c r="A1158" s="6" t="s">
        <v>1722</v>
      </c>
      <c r="B1158" s="7"/>
      <c r="C1158" s="6"/>
      <c r="H1158" s="9"/>
      <c r="I1158" s="11"/>
      <c r="J1158" s="41">
        <v>45985</v>
      </c>
      <c r="K1158" s="11"/>
      <c r="L1158" s="11"/>
    </row>
    <row r="1159" spans="1:16" ht="14.4">
      <c r="A1159" s="6" t="s">
        <v>1723</v>
      </c>
      <c r="B1159" s="7"/>
      <c r="C1159" s="6" t="s">
        <v>1724</v>
      </c>
      <c r="H1159" s="17" t="s">
        <v>19</v>
      </c>
      <c r="I1159" s="11"/>
      <c r="J1159" s="11"/>
      <c r="K1159" s="11"/>
      <c r="L1159" s="11"/>
    </row>
    <row r="1160" spans="1:16" ht="14.4">
      <c r="A1160" s="6" t="s">
        <v>1725</v>
      </c>
      <c r="B1160" s="7"/>
      <c r="C1160" s="6" t="s">
        <v>1726</v>
      </c>
      <c r="H1160" s="22"/>
      <c r="I1160" s="11"/>
      <c r="J1160" s="11"/>
      <c r="K1160" s="10" t="s">
        <v>212</v>
      </c>
      <c r="L1160" s="10"/>
    </row>
    <row r="1161" spans="1:16" ht="14.4">
      <c r="A1161" s="7" t="s">
        <v>1727</v>
      </c>
      <c r="B1161" s="51">
        <v>1158096606</v>
      </c>
      <c r="C1161" s="103" t="s">
        <v>1728</v>
      </c>
      <c r="D1161" s="21" t="s">
        <v>71</v>
      </c>
      <c r="H1161" s="22"/>
      <c r="I1161" s="11"/>
      <c r="J1161" s="11"/>
      <c r="K1161" s="11"/>
      <c r="L1161" s="11"/>
      <c r="P1161" s="14"/>
    </row>
    <row r="1162" spans="1:16" ht="14.4">
      <c r="A1162" s="19" t="str">
        <f>HYPERLINK("http://www.facebook.com/mirian.marinich","Mirian Marinich")</f>
        <v>Mirian Marinich</v>
      </c>
      <c r="B1162" s="14"/>
      <c r="C1162" s="14" t="s">
        <v>1729</v>
      </c>
      <c r="D1162" s="14"/>
      <c r="E1162" s="15">
        <v>41426</v>
      </c>
      <c r="F1162" s="14"/>
      <c r="G1162" s="14"/>
      <c r="H1162" s="10"/>
      <c r="I1162" s="10"/>
      <c r="J1162" s="10"/>
      <c r="K1162" s="10"/>
      <c r="L1162" s="10"/>
      <c r="M1162" s="14"/>
      <c r="N1162" s="14"/>
      <c r="O1162" s="14"/>
      <c r="P1162" s="14"/>
    </row>
    <row r="1163" spans="1:16" ht="14.4">
      <c r="A1163" s="6" t="s">
        <v>1730</v>
      </c>
      <c r="B1163" s="27">
        <v>1168684424</v>
      </c>
      <c r="C1163" s="18" t="s">
        <v>1731</v>
      </c>
      <c r="D1163" s="21" t="s">
        <v>71</v>
      </c>
      <c r="H1163" s="9" t="s">
        <v>260</v>
      </c>
      <c r="I1163" s="11" t="s">
        <v>212</v>
      </c>
      <c r="J1163" s="17" t="s">
        <v>71</v>
      </c>
      <c r="K1163" s="11"/>
      <c r="L1163" s="11"/>
      <c r="P1163" s="14"/>
    </row>
    <row r="1164" spans="1:16" ht="14.4">
      <c r="A1164" s="6" t="s">
        <v>1730</v>
      </c>
      <c r="B1164" s="7"/>
      <c r="C1164" s="6"/>
      <c r="H1164" s="9" t="s">
        <v>51</v>
      </c>
      <c r="I1164" s="11"/>
      <c r="J1164" s="11"/>
      <c r="K1164" s="11"/>
      <c r="L1164" s="11"/>
    </row>
    <row r="1165" spans="1:16" ht="14.4">
      <c r="A1165" s="6" t="s">
        <v>1730</v>
      </c>
      <c r="B1165" s="7"/>
      <c r="C1165" s="6"/>
      <c r="H1165" s="9"/>
      <c r="I1165" s="41">
        <v>45954</v>
      </c>
      <c r="J1165" s="11"/>
      <c r="K1165" s="11"/>
      <c r="L1165" s="11"/>
    </row>
    <row r="1166" spans="1:16" ht="14.4">
      <c r="A1166" s="6" t="s">
        <v>1730</v>
      </c>
      <c r="B1166" s="7"/>
      <c r="C1166" s="6"/>
      <c r="H1166" s="9"/>
      <c r="I1166" s="11"/>
      <c r="J1166" s="41">
        <v>45985</v>
      </c>
      <c r="K1166" s="11"/>
      <c r="L1166" s="11"/>
    </row>
    <row r="1167" spans="1:16" ht="14.4">
      <c r="A1167" s="14" t="s">
        <v>1732</v>
      </c>
      <c r="B1167" s="14"/>
      <c r="C1167" s="14" t="s">
        <v>1733</v>
      </c>
      <c r="D1167" s="14"/>
      <c r="E1167" s="15">
        <v>41275</v>
      </c>
      <c r="F1167" s="14"/>
      <c r="G1167" s="14"/>
      <c r="H1167" s="20">
        <v>41579</v>
      </c>
      <c r="I1167" s="10"/>
      <c r="J1167" s="10"/>
      <c r="K1167" s="10"/>
      <c r="L1167" s="10"/>
      <c r="M1167" s="14"/>
      <c r="N1167" s="14"/>
      <c r="O1167" s="14"/>
      <c r="P1167" s="14"/>
    </row>
    <row r="1168" spans="1:16" ht="14.4">
      <c r="A1168" s="14" t="s">
        <v>1734</v>
      </c>
      <c r="B1168" s="14" t="s">
        <v>1735</v>
      </c>
      <c r="C1168" s="19" t="str">
        <f>HYPERLINK("mailto:mirgab@gmail.com","mirgab@gmail.com")</f>
        <v>mirgab@gmail.com</v>
      </c>
      <c r="D1168" s="13"/>
      <c r="E1168" s="14"/>
      <c r="F1168" s="15">
        <v>40787</v>
      </c>
      <c r="G1168" s="14"/>
      <c r="H1168" s="10"/>
      <c r="I1168" s="10"/>
      <c r="J1168" s="10"/>
      <c r="K1168" s="10"/>
      <c r="L1168" s="10"/>
      <c r="M1168" s="14"/>
      <c r="N1168" s="14"/>
      <c r="O1168" s="14"/>
      <c r="P1168" s="14"/>
    </row>
    <row r="1169" spans="1:17" ht="14.4">
      <c r="A1169" s="6" t="s">
        <v>1736</v>
      </c>
      <c r="B1169" s="7"/>
      <c r="C1169" s="7"/>
      <c r="H1169" s="9"/>
      <c r="I1169" s="11"/>
      <c r="J1169" s="11"/>
      <c r="K1169" s="11"/>
      <c r="L1169" s="11"/>
      <c r="Q1169" s="16">
        <v>45833</v>
      </c>
    </row>
    <row r="1170" spans="1:17" ht="14.4">
      <c r="A1170" s="6" t="s">
        <v>1736</v>
      </c>
      <c r="B1170" s="7"/>
      <c r="C1170" s="7"/>
      <c r="H1170" s="9" t="s">
        <v>65</v>
      </c>
      <c r="I1170" s="11"/>
      <c r="J1170" s="11"/>
      <c r="K1170" s="11"/>
      <c r="L1170" s="11"/>
    </row>
    <row r="1171" spans="1:17" ht="14.4">
      <c r="A1171" s="6" t="s">
        <v>1736</v>
      </c>
      <c r="B1171" s="7"/>
      <c r="C1171" s="7"/>
      <c r="H1171" s="9"/>
      <c r="I1171" s="11" t="s">
        <v>22</v>
      </c>
      <c r="J1171" s="11"/>
      <c r="K1171" s="11"/>
      <c r="L1171" s="11"/>
    </row>
    <row r="1172" spans="1:17" ht="14.4">
      <c r="A1172" s="9" t="s">
        <v>1736</v>
      </c>
      <c r="B1172" s="7"/>
      <c r="C1172" s="7"/>
      <c r="H1172" s="9"/>
      <c r="I1172" s="11"/>
      <c r="J1172" s="11" t="s">
        <v>24</v>
      </c>
      <c r="K1172" s="11"/>
      <c r="L1172" s="11"/>
    </row>
    <row r="1173" spans="1:17" ht="14.4">
      <c r="A1173" s="6" t="s">
        <v>1737</v>
      </c>
      <c r="B1173" s="8">
        <v>2215899908</v>
      </c>
      <c r="C1173" s="6" t="s">
        <v>1738</v>
      </c>
      <c r="H1173" s="9" t="s">
        <v>123</v>
      </c>
      <c r="I1173" s="11"/>
      <c r="J1173" s="11"/>
      <c r="K1173" s="11"/>
      <c r="L1173" s="11"/>
    </row>
    <row r="1174" spans="1:17" ht="14.4">
      <c r="A1174" s="14" t="s">
        <v>1739</v>
      </c>
      <c r="B1174" s="14"/>
      <c r="C1174" s="19" t="str">
        <f>HYPERLINK("mailto:mime956@gmail.com","mime956@gmail.com")</f>
        <v>mime956@gmail.com</v>
      </c>
      <c r="D1174" s="14"/>
      <c r="E1174" s="15">
        <v>41426</v>
      </c>
      <c r="F1174" s="14"/>
      <c r="G1174" s="14"/>
      <c r="H1174" s="10"/>
      <c r="I1174" s="10"/>
      <c r="J1174" s="10"/>
      <c r="K1174" s="10"/>
      <c r="L1174" s="10"/>
      <c r="M1174" s="14"/>
      <c r="N1174" s="14"/>
      <c r="O1174" s="14"/>
    </row>
    <row r="1175" spans="1:17" ht="14.4">
      <c r="A1175" s="6" t="s">
        <v>1740</v>
      </c>
      <c r="B1175" s="7"/>
      <c r="C1175" s="6"/>
      <c r="H1175" s="9" t="s">
        <v>30</v>
      </c>
      <c r="I1175" s="10" t="s">
        <v>31</v>
      </c>
      <c r="J1175" s="11"/>
      <c r="K1175" s="11"/>
      <c r="L1175" s="11"/>
    </row>
    <row r="1176" spans="1:17" ht="14.4">
      <c r="A1176" s="9" t="s">
        <v>1740</v>
      </c>
      <c r="B1176" s="7"/>
      <c r="C1176" s="6"/>
      <c r="H1176" s="9"/>
      <c r="I1176" s="11"/>
      <c r="J1176" s="10" t="s">
        <v>49</v>
      </c>
      <c r="K1176" s="11"/>
      <c r="L1176" s="11"/>
    </row>
    <row r="1177" spans="1:17" ht="14.4">
      <c r="A1177" s="14" t="s">
        <v>1741</v>
      </c>
      <c r="B1177" s="14"/>
      <c r="C1177" s="19" t="str">
        <f>HYPERLINK("mailto:monicasso@hotmail.com","monicasso@hotmail.com")</f>
        <v>monicasso@hotmail.com</v>
      </c>
      <c r="D1177" s="14"/>
      <c r="E1177" s="14"/>
      <c r="F1177" s="14"/>
      <c r="G1177" s="14"/>
      <c r="H1177" s="10"/>
      <c r="I1177" s="10"/>
      <c r="J1177" s="10"/>
      <c r="K1177" s="10"/>
      <c r="L1177" s="10"/>
      <c r="M1177" s="14"/>
      <c r="N1177" s="14"/>
      <c r="O1177" s="14"/>
      <c r="P1177" s="14"/>
    </row>
    <row r="1178" spans="1:17" ht="14.4">
      <c r="A1178" s="14" t="s">
        <v>1742</v>
      </c>
      <c r="B1178" s="13">
        <v>1555804994</v>
      </c>
      <c r="C1178" s="19" t="str">
        <f>HYPERLINK("mailto:moni_su@hotmail.com","moni_su@hotmail.com")</f>
        <v>moni_su@hotmail.com</v>
      </c>
      <c r="D1178" s="15">
        <v>41000</v>
      </c>
      <c r="E1178" s="14"/>
      <c r="F1178" s="14"/>
      <c r="G1178" s="14"/>
      <c r="H1178" s="10"/>
      <c r="I1178" s="10"/>
      <c r="J1178" s="10"/>
      <c r="K1178" s="10"/>
      <c r="L1178" s="10"/>
      <c r="M1178" s="14"/>
      <c r="N1178" s="14"/>
      <c r="O1178" s="14"/>
      <c r="P1178" s="14"/>
    </row>
    <row r="1179" spans="1:17" ht="14.4">
      <c r="A1179" s="104" t="s">
        <v>1743</v>
      </c>
      <c r="B1179" s="105">
        <v>1561596239</v>
      </c>
      <c r="C1179" s="105" t="s">
        <v>1744</v>
      </c>
      <c r="D1179" s="14"/>
      <c r="E1179" s="14"/>
      <c r="F1179" s="14"/>
      <c r="G1179" s="6"/>
      <c r="H1179" s="23" t="s">
        <v>934</v>
      </c>
      <c r="I1179" s="10"/>
      <c r="J1179" s="10"/>
      <c r="K1179" s="10"/>
      <c r="L1179" s="10"/>
      <c r="P1179" s="14"/>
    </row>
    <row r="1180" spans="1:17" ht="14.4">
      <c r="A1180" s="6" t="s">
        <v>1745</v>
      </c>
      <c r="B1180" s="7"/>
      <c r="C1180" s="7"/>
      <c r="H1180" s="9"/>
      <c r="I1180" s="11"/>
      <c r="J1180" s="11"/>
      <c r="K1180" s="11"/>
      <c r="L1180" s="11"/>
      <c r="Q1180" s="12" t="s">
        <v>22</v>
      </c>
    </row>
    <row r="1181" spans="1:17" ht="14.4">
      <c r="A1181" s="6" t="s">
        <v>1746</v>
      </c>
      <c r="B1181" s="7"/>
      <c r="C1181" s="6"/>
      <c r="H1181" s="9" t="s">
        <v>50</v>
      </c>
      <c r="I1181" s="11"/>
      <c r="J1181" s="11"/>
      <c r="K1181" s="11"/>
      <c r="L1181" s="11"/>
    </row>
    <row r="1182" spans="1:17" ht="14.4">
      <c r="A1182" s="6" t="s">
        <v>1746</v>
      </c>
      <c r="B1182" s="7"/>
      <c r="C1182" s="6"/>
      <c r="H1182" s="9" t="s">
        <v>51</v>
      </c>
      <c r="I1182" s="11"/>
      <c r="J1182" s="11"/>
      <c r="K1182" s="11"/>
      <c r="L1182" s="11"/>
    </row>
    <row r="1183" spans="1:17" ht="14.4">
      <c r="A1183" s="6" t="s">
        <v>1746</v>
      </c>
      <c r="B1183" s="7"/>
      <c r="C1183" s="6"/>
      <c r="H1183" s="9"/>
      <c r="I1183" s="41">
        <v>45954</v>
      </c>
      <c r="J1183" s="11"/>
      <c r="K1183" s="11"/>
      <c r="L1183" s="11"/>
    </row>
    <row r="1184" spans="1:17" ht="14.4">
      <c r="A1184" s="6" t="s">
        <v>1746</v>
      </c>
      <c r="B1184" s="7"/>
      <c r="C1184" s="6"/>
      <c r="H1184" s="9"/>
      <c r="I1184" s="11"/>
      <c r="J1184" s="41">
        <v>45985</v>
      </c>
      <c r="K1184" s="11"/>
      <c r="L1184" s="11"/>
    </row>
    <row r="1185" spans="1:17" ht="14.4">
      <c r="A1185" s="6" t="s">
        <v>1747</v>
      </c>
      <c r="B1185" s="7"/>
      <c r="C1185" s="6"/>
      <c r="H1185" s="9"/>
      <c r="I1185" s="11"/>
      <c r="J1185" s="11"/>
      <c r="K1185" s="11"/>
      <c r="L1185" s="11"/>
      <c r="Q1185" s="16">
        <v>45985</v>
      </c>
    </row>
    <row r="1186" spans="1:17" ht="14.4">
      <c r="A1186" s="6" t="s">
        <v>1748</v>
      </c>
      <c r="B1186" s="8">
        <v>1159524400</v>
      </c>
      <c r="C1186" s="6" t="s">
        <v>1749</v>
      </c>
      <c r="H1186" s="43" t="s">
        <v>143</v>
      </c>
      <c r="I1186" s="11"/>
      <c r="J1186" s="11"/>
      <c r="K1186" s="11"/>
      <c r="L1186" s="11"/>
    </row>
    <row r="1187" spans="1:17" ht="14.4">
      <c r="A1187" s="10" t="s">
        <v>1750</v>
      </c>
      <c r="B1187" s="17">
        <v>1150298577</v>
      </c>
      <c r="C1187" s="17" t="s">
        <v>1751</v>
      </c>
      <c r="H1187" s="23" t="s">
        <v>742</v>
      </c>
      <c r="I1187" s="11"/>
      <c r="J1187" s="11"/>
      <c r="K1187" s="11"/>
      <c r="L1187" s="11"/>
      <c r="P1187" s="14"/>
    </row>
    <row r="1188" spans="1:17" ht="28.2">
      <c r="A1188" s="44" t="s">
        <v>1752</v>
      </c>
      <c r="B1188" s="44" t="s">
        <v>1753</v>
      </c>
      <c r="C1188" s="14" t="s">
        <v>1754</v>
      </c>
      <c r="D1188" s="14"/>
      <c r="E1188" s="14"/>
      <c r="F1188" s="14"/>
      <c r="G1188" s="14"/>
      <c r="H1188" s="10"/>
      <c r="I1188" s="10"/>
      <c r="J1188" s="10"/>
      <c r="K1188" s="10"/>
      <c r="L1188" s="10"/>
      <c r="M1188" s="15">
        <v>42309</v>
      </c>
      <c r="N1188" s="14"/>
      <c r="O1188" s="14"/>
      <c r="P1188" s="14"/>
    </row>
    <row r="1189" spans="1:17" ht="14.4">
      <c r="A1189" s="6" t="s">
        <v>1755</v>
      </c>
      <c r="B1189" s="7"/>
      <c r="C1189" s="6" t="s">
        <v>1756</v>
      </c>
      <c r="H1189" s="17" t="s">
        <v>19</v>
      </c>
      <c r="I1189" s="11"/>
      <c r="J1189" s="11"/>
      <c r="K1189" s="11"/>
      <c r="L1189" s="11"/>
    </row>
    <row r="1190" spans="1:17" ht="14.4">
      <c r="A1190" s="6" t="s">
        <v>1755</v>
      </c>
      <c r="B1190" s="7"/>
      <c r="C1190" s="6" t="s">
        <v>1756</v>
      </c>
      <c r="H1190" s="9"/>
      <c r="I1190" s="10" t="s">
        <v>20</v>
      </c>
      <c r="J1190" s="11"/>
      <c r="K1190" s="11"/>
      <c r="L1190" s="11"/>
    </row>
    <row r="1191" spans="1:17" ht="14.4">
      <c r="A1191" s="6" t="s">
        <v>1757</v>
      </c>
      <c r="B1191" s="62"/>
      <c r="C1191" s="62" t="s">
        <v>1758</v>
      </c>
      <c r="D1191" s="14"/>
      <c r="E1191" s="14"/>
      <c r="F1191" s="14"/>
      <c r="G1191" s="14"/>
      <c r="H1191" s="23" t="s">
        <v>132</v>
      </c>
      <c r="I1191" s="63"/>
      <c r="J1191" s="63"/>
      <c r="K1191" s="63"/>
      <c r="L1191" s="63"/>
      <c r="P1191" s="14"/>
    </row>
    <row r="1192" spans="1:17" ht="14.4">
      <c r="A1192" s="14" t="s">
        <v>1759</v>
      </c>
      <c r="B1192" s="14" t="s">
        <v>1760</v>
      </c>
      <c r="C1192" s="14" t="s">
        <v>1761</v>
      </c>
      <c r="D1192" s="14"/>
      <c r="E1192" s="15">
        <v>41456</v>
      </c>
      <c r="F1192" s="15">
        <v>41487</v>
      </c>
      <c r="G1192" s="15">
        <v>41760</v>
      </c>
      <c r="H1192" s="20">
        <v>41944</v>
      </c>
      <c r="I1192" s="10"/>
      <c r="J1192" s="10"/>
      <c r="K1192" s="10"/>
      <c r="L1192" s="10"/>
      <c r="M1192" s="14"/>
      <c r="N1192" s="14"/>
      <c r="O1192" s="14"/>
      <c r="P1192" s="14"/>
    </row>
    <row r="1193" spans="1:17" ht="14.4">
      <c r="A1193" s="6" t="s">
        <v>1762</v>
      </c>
      <c r="B1193" s="7"/>
      <c r="C1193" s="7"/>
      <c r="H1193" s="9" t="s">
        <v>67</v>
      </c>
      <c r="I1193" s="11"/>
      <c r="J1193" s="11"/>
      <c r="K1193" s="11"/>
      <c r="L1193" s="11"/>
    </row>
    <row r="1194" spans="1:17" ht="14.4">
      <c r="A1194" s="6" t="s">
        <v>1763</v>
      </c>
      <c r="B1194" s="7"/>
      <c r="C1194" s="7"/>
      <c r="H1194" s="9" t="s">
        <v>65</v>
      </c>
      <c r="I1194" s="11"/>
      <c r="J1194" s="11"/>
      <c r="K1194" s="11"/>
      <c r="L1194" s="11"/>
    </row>
    <row r="1195" spans="1:17" ht="14.4">
      <c r="A1195" s="6" t="s">
        <v>1763</v>
      </c>
      <c r="B1195" s="7"/>
      <c r="C1195" s="7"/>
      <c r="H1195" s="9"/>
      <c r="I1195" s="11" t="s">
        <v>22</v>
      </c>
      <c r="J1195" s="11"/>
      <c r="K1195" s="11"/>
      <c r="L1195" s="11"/>
    </row>
    <row r="1196" spans="1:17" ht="14.4">
      <c r="A1196" s="9" t="s">
        <v>1763</v>
      </c>
      <c r="B1196" s="7"/>
      <c r="C1196" s="7"/>
      <c r="H1196" s="9"/>
      <c r="I1196" s="11"/>
      <c r="J1196" s="11" t="s">
        <v>24</v>
      </c>
      <c r="K1196" s="11"/>
      <c r="L1196" s="11"/>
    </row>
    <row r="1197" spans="1:17" ht="14.4">
      <c r="A1197" s="14" t="s">
        <v>1764</v>
      </c>
      <c r="B1197" s="13">
        <v>1165640316</v>
      </c>
      <c r="C1197" s="19" t="str">
        <f>HYPERLINK("mailto:nadyanc@gmail.com","nadyanc@gmail.com")</f>
        <v>nadyanc@gmail.com</v>
      </c>
      <c r="D1197" s="15">
        <v>41000</v>
      </c>
      <c r="E1197" s="14"/>
      <c r="F1197" s="14"/>
      <c r="G1197" s="14"/>
      <c r="H1197" s="10"/>
      <c r="I1197" s="10"/>
      <c r="J1197" s="10"/>
      <c r="K1197" s="10"/>
      <c r="L1197" s="10"/>
      <c r="M1197" s="14"/>
      <c r="N1197" s="14"/>
      <c r="O1197" s="14"/>
      <c r="P1197" s="14"/>
    </row>
    <row r="1198" spans="1:17" ht="14.4">
      <c r="A1198" s="6" t="s">
        <v>1765</v>
      </c>
      <c r="B1198" s="29">
        <v>2804400639</v>
      </c>
      <c r="C1198" s="54" t="s">
        <v>1766</v>
      </c>
      <c r="H1198" s="69" t="s">
        <v>269</v>
      </c>
      <c r="I1198" s="11" t="s">
        <v>110</v>
      </c>
      <c r="J1198" s="11"/>
      <c r="K1198" s="11"/>
      <c r="L1198" s="11"/>
    </row>
    <row r="1199" spans="1:17" ht="14.4">
      <c r="A1199" s="6" t="s">
        <v>1765</v>
      </c>
      <c r="B1199" s="29">
        <v>2804400639</v>
      </c>
      <c r="C1199" s="54" t="s">
        <v>1766</v>
      </c>
      <c r="H1199" s="22"/>
      <c r="I1199" s="11"/>
      <c r="J1199" s="11"/>
      <c r="K1199" s="11" t="s">
        <v>110</v>
      </c>
      <c r="L1199" s="11"/>
    </row>
    <row r="1200" spans="1:17" ht="14.4">
      <c r="A1200" s="6" t="s">
        <v>1765</v>
      </c>
      <c r="B1200" s="29">
        <v>2804400639</v>
      </c>
      <c r="C1200" s="54" t="s">
        <v>1766</v>
      </c>
      <c r="H1200" s="22"/>
      <c r="I1200" s="11"/>
      <c r="J1200" s="35">
        <v>45252</v>
      </c>
      <c r="K1200" s="11"/>
      <c r="L1200" s="11"/>
    </row>
    <row r="1201" spans="1:16" ht="14.4">
      <c r="A1201" s="6" t="s">
        <v>1765</v>
      </c>
      <c r="B1201" s="7"/>
      <c r="C1201" s="7"/>
      <c r="H1201" s="9"/>
      <c r="I1201" s="11"/>
      <c r="J1201" s="11"/>
      <c r="K1201" s="11"/>
      <c r="L1201" s="11"/>
      <c r="P1201" s="26" t="s">
        <v>75</v>
      </c>
    </row>
    <row r="1202" spans="1:16" ht="14.4">
      <c r="A1202" s="14" t="s">
        <v>1767</v>
      </c>
      <c r="B1202" s="14" t="s">
        <v>1768</v>
      </c>
      <c r="C1202" s="14" t="s">
        <v>1769</v>
      </c>
      <c r="D1202" s="15">
        <v>42095</v>
      </c>
      <c r="E1202" s="14"/>
      <c r="F1202" s="14"/>
      <c r="G1202" s="14"/>
      <c r="H1202" s="10"/>
      <c r="I1202" s="10"/>
      <c r="J1202" s="10"/>
      <c r="K1202" s="10"/>
      <c r="L1202" s="10"/>
      <c r="M1202" s="14"/>
      <c r="N1202" s="14"/>
      <c r="O1202" s="14"/>
    </row>
    <row r="1203" spans="1:16" ht="14.4">
      <c r="A1203" s="6" t="s">
        <v>1770</v>
      </c>
      <c r="B1203" s="7"/>
      <c r="C1203" s="6"/>
      <c r="H1203" s="9" t="s">
        <v>49</v>
      </c>
      <c r="I1203" s="11"/>
      <c r="J1203" s="11"/>
      <c r="K1203" s="11"/>
      <c r="L1203" s="11"/>
    </row>
    <row r="1204" spans="1:16" ht="14.4">
      <c r="A1204" s="6" t="s">
        <v>1771</v>
      </c>
      <c r="B1204" s="7"/>
      <c r="C1204" s="6"/>
      <c r="H1204" s="9" t="s">
        <v>30</v>
      </c>
      <c r="I1204" s="10" t="s">
        <v>31</v>
      </c>
      <c r="J1204" s="11"/>
      <c r="K1204" s="11"/>
      <c r="L1204" s="11"/>
    </row>
    <row r="1205" spans="1:16" ht="14.4">
      <c r="A1205" s="9" t="s">
        <v>1771</v>
      </c>
      <c r="B1205" s="7"/>
      <c r="C1205" s="6"/>
      <c r="H1205" s="9"/>
      <c r="I1205" s="11"/>
      <c r="J1205" s="10" t="s">
        <v>49</v>
      </c>
      <c r="K1205" s="11"/>
      <c r="L1205" s="11"/>
    </row>
    <row r="1206" spans="1:16" ht="14.4">
      <c r="A1206" s="6" t="s">
        <v>1772</v>
      </c>
      <c r="B1206" s="7"/>
      <c r="C1206" s="6"/>
      <c r="H1206" s="9" t="s">
        <v>29</v>
      </c>
      <c r="I1206" s="11"/>
      <c r="J1206" s="11"/>
      <c r="K1206" s="11"/>
      <c r="L1206" s="11"/>
    </row>
    <row r="1207" spans="1:16" ht="14.4">
      <c r="A1207" s="14" t="s">
        <v>1773</v>
      </c>
      <c r="B1207" s="14"/>
      <c r="C1207" s="19" t="str">
        <f>HYPERLINK("mailto:nancyllescas@hotmail.com","nancyllescas@hotmail.com")</f>
        <v>nancyllescas@hotmail.com</v>
      </c>
      <c r="D1207" s="14"/>
      <c r="E1207" s="15">
        <v>41306</v>
      </c>
      <c r="F1207" s="14"/>
      <c r="G1207" s="14"/>
      <c r="H1207" s="10"/>
      <c r="I1207" s="10"/>
      <c r="J1207" s="10"/>
      <c r="K1207" s="10"/>
      <c r="L1207" s="10"/>
      <c r="M1207" s="14"/>
      <c r="N1207" s="14"/>
      <c r="O1207" s="14"/>
      <c r="P1207" s="14"/>
    </row>
    <row r="1208" spans="1:16" ht="14.4">
      <c r="A1208" s="14" t="s">
        <v>1774</v>
      </c>
      <c r="B1208" s="14" t="s">
        <v>1775</v>
      </c>
      <c r="C1208" s="14" t="s">
        <v>1776</v>
      </c>
      <c r="D1208" s="14"/>
      <c r="E1208" s="15">
        <v>41456</v>
      </c>
      <c r="F1208" s="15">
        <v>41487</v>
      </c>
      <c r="G1208" s="14"/>
      <c r="H1208" s="10"/>
      <c r="I1208" s="10"/>
      <c r="J1208" s="10"/>
      <c r="K1208" s="10"/>
      <c r="L1208" s="10"/>
      <c r="M1208" s="14"/>
      <c r="N1208" s="14"/>
      <c r="O1208" s="14"/>
      <c r="P1208" s="14"/>
    </row>
    <row r="1209" spans="1:16" ht="14.4">
      <c r="A1209" s="6" t="s">
        <v>1777</v>
      </c>
      <c r="B1209" s="7"/>
      <c r="C1209" s="6"/>
      <c r="H1209" s="9"/>
      <c r="I1209" s="11"/>
      <c r="J1209" s="11"/>
      <c r="K1209" s="11"/>
      <c r="L1209" s="11"/>
      <c r="P1209" s="7" t="s">
        <v>49</v>
      </c>
    </row>
    <row r="1210" spans="1:16" ht="14.4">
      <c r="A1210" s="14" t="s">
        <v>1778</v>
      </c>
      <c r="B1210" s="17">
        <v>1531064801</v>
      </c>
      <c r="C1210" s="13" t="s">
        <v>1779</v>
      </c>
      <c r="D1210" s="15">
        <v>42856</v>
      </c>
      <c r="E1210" s="14"/>
      <c r="F1210" s="14"/>
      <c r="G1210" s="14"/>
      <c r="H1210" s="10"/>
      <c r="I1210" s="10"/>
      <c r="J1210" s="10"/>
      <c r="K1210" s="10"/>
      <c r="L1210" s="10"/>
      <c r="M1210" s="14"/>
      <c r="N1210" s="14"/>
      <c r="O1210" s="14"/>
      <c r="P1210" s="14"/>
    </row>
    <row r="1211" spans="1:16" ht="14.4">
      <c r="A1211" s="14" t="s">
        <v>1780</v>
      </c>
      <c r="B1211" s="14"/>
      <c r="C1211" s="19" t="str">
        <f>HYPERLINK("mailto:edi_nancy@yahoo.com.ar","edi_nancy@yahoo.com.ar")</f>
        <v>edi_nancy@yahoo.com.ar</v>
      </c>
      <c r="D1211" s="14"/>
      <c r="E1211" s="15">
        <v>41640</v>
      </c>
      <c r="F1211" s="14"/>
      <c r="G1211" s="14"/>
      <c r="H1211" s="10"/>
      <c r="I1211" s="10"/>
      <c r="J1211" s="10"/>
      <c r="K1211" s="10"/>
      <c r="L1211" s="10"/>
      <c r="M1211" s="14"/>
      <c r="N1211" s="14"/>
      <c r="O1211" s="14"/>
      <c r="P1211" s="14"/>
    </row>
    <row r="1212" spans="1:16" ht="14.4">
      <c r="A1212" s="6" t="s">
        <v>1781</v>
      </c>
      <c r="B1212" s="7"/>
      <c r="C1212" s="6" t="s">
        <v>1782</v>
      </c>
      <c r="H1212" s="42">
        <v>45222</v>
      </c>
      <c r="I1212" s="11"/>
      <c r="J1212" s="11"/>
      <c r="K1212" s="11"/>
      <c r="L1212" s="11"/>
    </row>
    <row r="1213" spans="1:16" ht="14.4">
      <c r="A1213" s="13" t="s">
        <v>1783</v>
      </c>
      <c r="B1213" s="13" t="s">
        <v>1784</v>
      </c>
      <c r="C1213" s="46" t="str">
        <f>HYPERLINK("mailto:n47u@hotmail.com","n47u@hotmail.com")</f>
        <v>n47u@hotmail.com</v>
      </c>
      <c r="D1213" s="15">
        <v>42186</v>
      </c>
      <c r="E1213" s="14"/>
      <c r="F1213" s="21" t="s">
        <v>135</v>
      </c>
      <c r="G1213" s="14"/>
      <c r="H1213" s="20">
        <v>42278</v>
      </c>
      <c r="I1213" s="10"/>
      <c r="J1213" s="10"/>
      <c r="K1213" s="10"/>
      <c r="L1213" s="10"/>
      <c r="M1213" s="14"/>
      <c r="N1213" s="14"/>
      <c r="O1213" s="14"/>
      <c r="P1213" s="14"/>
    </row>
    <row r="1214" spans="1:16" ht="14.4">
      <c r="A1214" s="7" t="s">
        <v>1785</v>
      </c>
      <c r="B1214" s="31">
        <v>1161499602</v>
      </c>
      <c r="C1214" s="7" t="s">
        <v>1786</v>
      </c>
      <c r="D1214" s="21" t="s">
        <v>71</v>
      </c>
      <c r="H1214" s="22"/>
      <c r="I1214" s="11"/>
      <c r="J1214" s="11"/>
      <c r="K1214" s="11"/>
      <c r="L1214" s="11"/>
      <c r="P1214" s="14"/>
    </row>
    <row r="1215" spans="1:16" ht="14.4">
      <c r="A1215" s="14" t="s">
        <v>1787</v>
      </c>
      <c r="B1215" s="14"/>
      <c r="C1215" s="19" t="str">
        <f>HYPERLINK("mailto:nataliagrosso@hotmail.com","nataliagrosso@hotmail.com")</f>
        <v>nataliagrosso@hotmail.com</v>
      </c>
      <c r="D1215" s="14"/>
      <c r="E1215" s="15">
        <v>41306</v>
      </c>
      <c r="F1215" s="14"/>
      <c r="G1215" s="14"/>
      <c r="H1215" s="10"/>
      <c r="I1215" s="10"/>
      <c r="J1215" s="10"/>
      <c r="K1215" s="10"/>
      <c r="L1215" s="10"/>
      <c r="M1215" s="14"/>
      <c r="N1215" s="14"/>
      <c r="O1215" s="14"/>
      <c r="P1215" s="14"/>
    </row>
    <row r="1216" spans="1:16" ht="14.4">
      <c r="A1216" s="10" t="s">
        <v>1788</v>
      </c>
      <c r="B1216" s="23">
        <v>93515558861</v>
      </c>
      <c r="C1216" s="10" t="s">
        <v>1789</v>
      </c>
      <c r="H1216" s="30" t="s">
        <v>73</v>
      </c>
      <c r="I1216" s="11"/>
      <c r="J1216" s="11"/>
      <c r="K1216" s="11"/>
      <c r="L1216" s="11"/>
      <c r="P1216" s="14"/>
    </row>
    <row r="1217" spans="1:16" ht="14.4">
      <c r="A1217" s="14" t="s">
        <v>1790</v>
      </c>
      <c r="B1217" s="14" t="s">
        <v>1791</v>
      </c>
      <c r="C1217" s="19" t="str">
        <f>HYPERLINK("mailto:nataliamatteo@gmail.com","nataliamatteo@gmail.com")</f>
        <v>nataliamatteo@gmail.com</v>
      </c>
      <c r="D1217" s="15">
        <v>41214</v>
      </c>
      <c r="E1217" s="14"/>
      <c r="F1217" s="14"/>
      <c r="G1217" s="14"/>
      <c r="H1217" s="10"/>
      <c r="I1217" s="10"/>
      <c r="J1217" s="10"/>
      <c r="K1217" s="10"/>
      <c r="L1217" s="10"/>
      <c r="M1217" s="14"/>
      <c r="N1217" s="14"/>
      <c r="O1217" s="14"/>
      <c r="P1217" s="14"/>
    </row>
    <row r="1218" spans="1:16" ht="14.4">
      <c r="A1218" s="13" t="s">
        <v>1792</v>
      </c>
      <c r="B1218" s="45" t="str">
        <f>HYPERLINK("tel:1168097333","1168097333")</f>
        <v>1168097333</v>
      </c>
      <c r="C1218" s="13" t="s">
        <v>1793</v>
      </c>
      <c r="D1218" s="15">
        <v>41852</v>
      </c>
      <c r="E1218" s="14"/>
      <c r="F1218" s="14"/>
      <c r="G1218" s="14"/>
      <c r="H1218" s="10"/>
      <c r="I1218" s="10"/>
      <c r="J1218" s="10"/>
      <c r="K1218" s="10"/>
      <c r="L1218" s="10"/>
      <c r="M1218" s="14"/>
      <c r="N1218" s="14"/>
      <c r="O1218" s="14"/>
      <c r="P1218" s="14"/>
    </row>
    <row r="1219" spans="1:16" ht="14.4">
      <c r="A1219" s="6" t="s">
        <v>1794</v>
      </c>
      <c r="B1219" s="7"/>
      <c r="C1219" s="6" t="s">
        <v>1795</v>
      </c>
      <c r="H1219" s="17" t="s">
        <v>19</v>
      </c>
      <c r="I1219" s="11"/>
      <c r="J1219" s="11"/>
      <c r="K1219" s="11"/>
      <c r="L1219" s="11"/>
    </row>
    <row r="1220" spans="1:16" ht="14.4">
      <c r="A1220" s="6" t="s">
        <v>1794</v>
      </c>
      <c r="B1220" s="7"/>
      <c r="C1220" s="6" t="s">
        <v>1795</v>
      </c>
      <c r="H1220" s="9"/>
      <c r="I1220" s="10" t="s">
        <v>20</v>
      </c>
      <c r="J1220" s="11"/>
      <c r="K1220" s="11"/>
      <c r="L1220" s="11"/>
    </row>
    <row r="1221" spans="1:16" ht="14.4">
      <c r="A1221" s="9" t="s">
        <v>1794</v>
      </c>
      <c r="B1221" s="53"/>
      <c r="C1221" s="6" t="s">
        <v>1795</v>
      </c>
      <c r="H1221" s="9"/>
      <c r="I1221" s="11"/>
      <c r="J1221" s="10" t="s">
        <v>67</v>
      </c>
      <c r="K1221" s="11"/>
      <c r="L1221" s="11"/>
    </row>
    <row r="1222" spans="1:16" ht="14.4">
      <c r="A1222" s="13" t="s">
        <v>1796</v>
      </c>
      <c r="B1222" s="13" t="s">
        <v>1797</v>
      </c>
      <c r="C1222" s="13" t="s">
        <v>1798</v>
      </c>
      <c r="D1222" s="15">
        <v>41518</v>
      </c>
      <c r="E1222" s="14"/>
      <c r="F1222" s="14"/>
      <c r="G1222" s="14"/>
      <c r="H1222" s="10"/>
      <c r="I1222" s="10"/>
      <c r="J1222" s="10"/>
      <c r="K1222" s="10"/>
      <c r="L1222" s="10"/>
      <c r="M1222" s="14"/>
      <c r="N1222" s="14"/>
      <c r="O1222" s="14"/>
      <c r="P1222" s="14"/>
    </row>
    <row r="1223" spans="1:16" ht="14.4">
      <c r="A1223" s="14" t="s">
        <v>1799</v>
      </c>
      <c r="B1223" s="14" t="s">
        <v>1800</v>
      </c>
      <c r="C1223" s="19" t="str">
        <f>HYPERLINK("mailto:nataliagarabato@hotmail.com","nataliagarabato@hotmail.com")</f>
        <v>nataliagarabato@hotmail.com</v>
      </c>
      <c r="D1223" s="15">
        <v>41579</v>
      </c>
      <c r="E1223" s="14"/>
      <c r="F1223" s="14"/>
      <c r="G1223" s="14"/>
      <c r="H1223" s="10"/>
      <c r="I1223" s="10"/>
      <c r="J1223" s="10"/>
      <c r="K1223" s="10"/>
      <c r="L1223" s="10"/>
      <c r="M1223" s="14"/>
      <c r="N1223" s="14"/>
      <c r="O1223" s="14"/>
      <c r="P1223" s="14"/>
    </row>
    <row r="1224" spans="1:16" ht="14.4">
      <c r="A1224" s="14" t="s">
        <v>1801</v>
      </c>
      <c r="B1224" s="17" t="s">
        <v>1802</v>
      </c>
      <c r="C1224" s="10" t="s">
        <v>1803</v>
      </c>
      <c r="D1224" s="14"/>
      <c r="E1224" s="14"/>
      <c r="F1224" s="14"/>
      <c r="G1224" s="6"/>
      <c r="H1224" s="30" t="s">
        <v>71</v>
      </c>
      <c r="I1224" s="10"/>
      <c r="J1224" s="11"/>
      <c r="K1224" s="11"/>
      <c r="L1224" s="11"/>
      <c r="P1224" s="14"/>
    </row>
    <row r="1225" spans="1:16" ht="14.4">
      <c r="A1225" s="14" t="s">
        <v>1804</v>
      </c>
      <c r="B1225" s="14" t="s">
        <v>1805</v>
      </c>
      <c r="C1225" s="14"/>
      <c r="D1225" s="14"/>
      <c r="E1225" s="14"/>
      <c r="F1225" s="14"/>
      <c r="G1225" s="14"/>
      <c r="H1225" s="10"/>
      <c r="I1225" s="10"/>
      <c r="J1225" s="10"/>
      <c r="K1225" s="10"/>
      <c r="L1225" s="10"/>
      <c r="M1225" s="15">
        <v>42125</v>
      </c>
      <c r="N1225" s="14"/>
      <c r="O1225" s="14"/>
      <c r="P1225" s="14"/>
    </row>
    <row r="1226" spans="1:16" ht="14.4">
      <c r="A1226" s="44" t="s">
        <v>1806</v>
      </c>
      <c r="B1226" s="44" t="s">
        <v>1807</v>
      </c>
      <c r="C1226" s="14" t="s">
        <v>1808</v>
      </c>
      <c r="D1226" s="14"/>
      <c r="E1226" s="14"/>
      <c r="F1226" s="14"/>
      <c r="G1226" s="14"/>
      <c r="H1226" s="10"/>
      <c r="I1226" s="10"/>
      <c r="J1226" s="10"/>
      <c r="K1226" s="10"/>
      <c r="L1226" s="10"/>
      <c r="M1226" s="15">
        <v>42309</v>
      </c>
      <c r="N1226" s="14"/>
      <c r="O1226" s="14"/>
      <c r="P1226" s="14"/>
    </row>
    <row r="1227" spans="1:16" ht="14.4">
      <c r="A1227" s="14" t="s">
        <v>1809</v>
      </c>
      <c r="B1227" s="13">
        <v>1540811814</v>
      </c>
      <c r="C1227" s="13" t="s">
        <v>1810</v>
      </c>
      <c r="D1227" s="21" t="s">
        <v>177</v>
      </c>
      <c r="E1227" s="14"/>
      <c r="F1227" s="14"/>
      <c r="G1227" s="14"/>
      <c r="H1227" s="10"/>
      <c r="I1227" s="10"/>
      <c r="J1227" s="10"/>
      <c r="K1227" s="10"/>
      <c r="L1227" s="10"/>
      <c r="M1227" s="14"/>
      <c r="N1227" s="14"/>
      <c r="O1227" s="14"/>
      <c r="P1227" s="14"/>
    </row>
    <row r="1228" spans="1:16" ht="14.4">
      <c r="A1228" s="6" t="s">
        <v>1811</v>
      </c>
      <c r="B1228" s="7"/>
      <c r="C1228" s="7"/>
      <c r="H1228" s="6" t="s">
        <v>34</v>
      </c>
      <c r="I1228" s="11"/>
      <c r="J1228" s="11"/>
      <c r="K1228" s="11"/>
      <c r="L1228" s="11"/>
    </row>
    <row r="1229" spans="1:16" ht="14.4">
      <c r="A1229" s="14" t="s">
        <v>1812</v>
      </c>
      <c r="B1229" s="14" t="s">
        <v>1813</v>
      </c>
      <c r="C1229" s="19" t="str">
        <f>HYPERLINK("mailto:miklous2002@hotmail.com","miklous2002@hotmail.com")</f>
        <v>miklous2002@hotmail.com</v>
      </c>
      <c r="D1229" s="14"/>
      <c r="E1229" s="14"/>
      <c r="F1229" s="15">
        <v>41365</v>
      </c>
      <c r="G1229" s="14"/>
      <c r="H1229" s="10"/>
      <c r="I1229" s="10"/>
      <c r="J1229" s="10"/>
      <c r="K1229" s="10"/>
      <c r="L1229" s="10"/>
      <c r="M1229" s="14"/>
      <c r="N1229" s="14"/>
      <c r="O1229" s="14"/>
      <c r="P1229" s="14"/>
    </row>
    <row r="1230" spans="1:16" ht="14.4">
      <c r="A1230" s="14" t="s">
        <v>1814</v>
      </c>
      <c r="B1230" s="14"/>
      <c r="C1230" s="14" t="s">
        <v>1815</v>
      </c>
      <c r="D1230" s="14"/>
      <c r="E1230" s="14"/>
      <c r="F1230" s="14"/>
      <c r="G1230" s="14"/>
      <c r="H1230" s="20">
        <v>41791</v>
      </c>
      <c r="I1230" s="10"/>
      <c r="J1230" s="10"/>
      <c r="K1230" s="10"/>
      <c r="L1230" s="10"/>
      <c r="M1230" s="14"/>
      <c r="N1230" s="14"/>
      <c r="O1230" s="14"/>
      <c r="P1230" s="14"/>
    </row>
    <row r="1231" spans="1:16" ht="14.4">
      <c r="A1231" s="14" t="s">
        <v>1816</v>
      </c>
      <c r="B1231" s="14" t="s">
        <v>1817</v>
      </c>
      <c r="C1231" s="19" t="str">
        <f>HYPERLINK("mailto:nicsaid95@hotmail.com","nicsaid95@hotmail.com")</f>
        <v>nicsaid95@hotmail.com</v>
      </c>
      <c r="D1231" s="14"/>
      <c r="E1231" s="14"/>
      <c r="F1231" s="15">
        <v>40756</v>
      </c>
      <c r="G1231" s="14"/>
      <c r="H1231" s="10"/>
      <c r="I1231" s="10"/>
      <c r="J1231" s="10"/>
      <c r="K1231" s="10"/>
      <c r="L1231" s="10"/>
      <c r="M1231" s="14"/>
      <c r="N1231" s="14"/>
      <c r="O1231" s="14"/>
      <c r="P1231" s="14"/>
    </row>
    <row r="1232" spans="1:16" ht="14.4">
      <c r="A1232" s="14" t="s">
        <v>1818</v>
      </c>
      <c r="B1232" s="47" t="s">
        <v>1819</v>
      </c>
      <c r="C1232" s="14" t="s">
        <v>1820</v>
      </c>
      <c r="D1232" s="14"/>
      <c r="E1232" s="15">
        <v>41275</v>
      </c>
      <c r="F1232" s="14"/>
      <c r="G1232" s="14"/>
      <c r="H1232" s="10"/>
      <c r="I1232" s="10"/>
      <c r="J1232" s="10"/>
      <c r="K1232" s="10"/>
      <c r="L1232" s="10"/>
      <c r="M1232" s="14"/>
      <c r="N1232" s="14"/>
      <c r="O1232" s="14"/>
      <c r="P1232" s="14"/>
    </row>
    <row r="1233" spans="1:16" ht="14.4">
      <c r="A1233" s="14" t="s">
        <v>1821</v>
      </c>
      <c r="B1233" s="14"/>
      <c r="C1233" s="19" t="str">
        <f>HYPERLINK("mailto:nidiane54@hotmail.com","nidiane54@hotmail.com")</f>
        <v>nidiane54@hotmail.com</v>
      </c>
      <c r="D1233" s="14"/>
      <c r="E1233" s="15">
        <v>41518</v>
      </c>
      <c r="F1233" s="14"/>
      <c r="G1233" s="14"/>
      <c r="H1233" s="10"/>
      <c r="I1233" s="10"/>
      <c r="J1233" s="10"/>
      <c r="K1233" s="10"/>
      <c r="L1233" s="10"/>
      <c r="M1233" s="14"/>
      <c r="N1233" s="14"/>
      <c r="O1233" s="14"/>
      <c r="P1233" s="14"/>
    </row>
    <row r="1234" spans="1:16" ht="14.4">
      <c r="A1234" s="14" t="s">
        <v>1822</v>
      </c>
      <c r="B1234" s="14" t="s">
        <v>1823</v>
      </c>
      <c r="C1234" s="14" t="s">
        <v>1824</v>
      </c>
      <c r="D1234" s="14"/>
      <c r="E1234" s="14"/>
      <c r="F1234" s="14"/>
      <c r="G1234" s="14"/>
      <c r="H1234" s="20">
        <v>42278</v>
      </c>
      <c r="I1234" s="10"/>
      <c r="J1234" s="10"/>
      <c r="K1234" s="10"/>
      <c r="L1234" s="10"/>
      <c r="M1234" s="14"/>
      <c r="N1234" s="14"/>
      <c r="O1234" s="14"/>
      <c r="P1234" s="14"/>
    </row>
    <row r="1235" spans="1:16" ht="14.4">
      <c r="A1235" s="6" t="s">
        <v>1825</v>
      </c>
      <c r="B1235" s="7"/>
      <c r="C1235" s="6"/>
      <c r="H1235" s="9"/>
      <c r="I1235" s="10" t="s">
        <v>31</v>
      </c>
      <c r="J1235" s="11"/>
      <c r="K1235" s="11"/>
      <c r="L1235" s="11"/>
    </row>
    <row r="1236" spans="1:16" ht="14.4">
      <c r="A1236" s="53" t="s">
        <v>1826</v>
      </c>
      <c r="B1236" s="106">
        <v>1559293065</v>
      </c>
      <c r="C1236" s="25" t="s">
        <v>1827</v>
      </c>
      <c r="D1236" s="21" t="s">
        <v>355</v>
      </c>
      <c r="H1236" s="22"/>
      <c r="I1236" s="11"/>
      <c r="J1236" s="11"/>
      <c r="K1236" s="11"/>
      <c r="L1236" s="11"/>
      <c r="P1236" s="14"/>
    </row>
    <row r="1237" spans="1:16" ht="14.4">
      <c r="A1237" s="14" t="s">
        <v>1828</v>
      </c>
      <c r="B1237" s="17" t="s">
        <v>1829</v>
      </c>
      <c r="C1237" s="10" t="s">
        <v>1830</v>
      </c>
      <c r="E1237" s="21" t="s">
        <v>314</v>
      </c>
      <c r="H1237" s="22"/>
      <c r="I1237" s="11"/>
      <c r="J1237" s="11"/>
      <c r="K1237" s="11"/>
      <c r="L1237" s="11"/>
      <c r="P1237" s="14"/>
    </row>
    <row r="1238" spans="1:16" ht="14.4">
      <c r="A1238" s="14" t="s">
        <v>1831</v>
      </c>
      <c r="B1238" s="13">
        <v>1530511531</v>
      </c>
      <c r="C1238" s="14" t="s">
        <v>1832</v>
      </c>
      <c r="D1238" s="15">
        <v>41214</v>
      </c>
      <c r="E1238" s="14"/>
      <c r="F1238" s="14"/>
      <c r="G1238" s="14"/>
      <c r="H1238" s="10"/>
      <c r="I1238" s="10"/>
      <c r="J1238" s="10"/>
      <c r="K1238" s="10"/>
      <c r="L1238" s="10"/>
      <c r="M1238" s="14"/>
      <c r="N1238" s="14"/>
      <c r="O1238" s="14"/>
      <c r="P1238" s="14"/>
    </row>
    <row r="1239" spans="1:16" ht="14.4">
      <c r="A1239" s="14" t="s">
        <v>1833</v>
      </c>
      <c r="B1239" s="14"/>
      <c r="C1239" s="19" t="str">
        <f>HYPERLINK("mailto:norabarreira@gmail.com","norabarreira@gmail.com")</f>
        <v>norabarreira@gmail.com</v>
      </c>
      <c r="D1239" s="14"/>
      <c r="E1239" s="14"/>
      <c r="F1239" s="14"/>
      <c r="G1239" s="14"/>
      <c r="H1239" s="10"/>
      <c r="I1239" s="10"/>
      <c r="J1239" s="10"/>
      <c r="K1239" s="10"/>
      <c r="L1239" s="10"/>
      <c r="M1239" s="14"/>
      <c r="N1239" s="14"/>
      <c r="O1239" s="14"/>
      <c r="P1239" s="14"/>
    </row>
    <row r="1240" spans="1:16" ht="14.4">
      <c r="A1240" s="6" t="s">
        <v>1834</v>
      </c>
      <c r="B1240" s="7"/>
      <c r="C1240" s="7"/>
      <c r="H1240" s="9" t="s">
        <v>82</v>
      </c>
      <c r="I1240" s="11"/>
      <c r="J1240" s="11"/>
      <c r="K1240" s="11"/>
      <c r="L1240" s="11"/>
    </row>
    <row r="1241" spans="1:16" ht="14.4">
      <c r="A1241" s="6" t="s">
        <v>1835</v>
      </c>
      <c r="B1241" s="7"/>
      <c r="C1241" s="6"/>
      <c r="H1241" s="42">
        <v>45954</v>
      </c>
      <c r="I1241" s="11"/>
      <c r="J1241" s="11"/>
      <c r="K1241" s="11"/>
      <c r="L1241" s="11"/>
    </row>
    <row r="1242" spans="1:16" ht="14.4">
      <c r="A1242" s="6" t="s">
        <v>1835</v>
      </c>
      <c r="B1242" s="7"/>
      <c r="C1242" s="7"/>
      <c r="H1242" s="9"/>
      <c r="I1242" s="11" t="s">
        <v>22</v>
      </c>
      <c r="J1242" s="11"/>
      <c r="K1242" s="11"/>
      <c r="L1242" s="11"/>
    </row>
    <row r="1243" spans="1:16" ht="14.4">
      <c r="A1243" s="9" t="s">
        <v>1835</v>
      </c>
      <c r="B1243" s="7"/>
      <c r="C1243" s="7"/>
      <c r="H1243" s="9"/>
      <c r="I1243" s="11"/>
      <c r="J1243" s="11" t="s">
        <v>24</v>
      </c>
      <c r="K1243" s="11"/>
      <c r="L1243" s="11"/>
    </row>
    <row r="1244" spans="1:16" ht="14.4">
      <c r="A1244" s="6" t="s">
        <v>1835</v>
      </c>
      <c r="B1244" s="7"/>
      <c r="C1244" s="7"/>
      <c r="H1244" s="9"/>
      <c r="I1244" s="11"/>
      <c r="J1244" s="11"/>
      <c r="K1244" s="11" t="s">
        <v>22</v>
      </c>
      <c r="L1244" s="11"/>
    </row>
    <row r="1245" spans="1:16" ht="14.4">
      <c r="A1245" s="6" t="s">
        <v>1836</v>
      </c>
      <c r="B1245" s="7"/>
      <c r="C1245" s="6"/>
      <c r="H1245" s="9" t="s">
        <v>30</v>
      </c>
      <c r="I1245" s="11"/>
      <c r="J1245" s="11"/>
      <c r="K1245" s="11"/>
      <c r="L1245" s="11"/>
    </row>
    <row r="1246" spans="1:16" ht="14.4">
      <c r="A1246" s="6" t="s">
        <v>1836</v>
      </c>
      <c r="C1246" s="6"/>
      <c r="H1246" s="9"/>
      <c r="I1246" s="11"/>
      <c r="J1246" s="11"/>
      <c r="K1246" s="10" t="s">
        <v>49</v>
      </c>
      <c r="L1246" s="11"/>
    </row>
    <row r="1247" spans="1:16" ht="14.4">
      <c r="A1247" s="14" t="s">
        <v>1837</v>
      </c>
      <c r="B1247" s="14" t="s">
        <v>1838</v>
      </c>
      <c r="C1247" s="14" t="s">
        <v>1839</v>
      </c>
      <c r="D1247" s="14"/>
      <c r="E1247" s="14"/>
      <c r="F1247" s="14"/>
      <c r="G1247" s="14"/>
      <c r="H1247" s="20">
        <v>41883</v>
      </c>
      <c r="I1247" s="10"/>
      <c r="J1247" s="10"/>
      <c r="K1247" s="10"/>
      <c r="L1247" s="10"/>
      <c r="M1247" s="14"/>
      <c r="N1247" s="14"/>
      <c r="O1247" s="14"/>
      <c r="P1247" s="14"/>
    </row>
    <row r="1248" spans="1:16" ht="14.4">
      <c r="A1248" s="44" t="s">
        <v>1840</v>
      </c>
      <c r="B1248" s="44" t="s">
        <v>1841</v>
      </c>
      <c r="C1248" s="14" t="s">
        <v>1842</v>
      </c>
      <c r="D1248" s="14"/>
      <c r="E1248" s="14"/>
      <c r="F1248" s="14"/>
      <c r="G1248" s="14"/>
      <c r="H1248" s="10"/>
      <c r="I1248" s="10"/>
      <c r="J1248" s="10"/>
      <c r="K1248" s="10"/>
      <c r="L1248" s="10"/>
      <c r="M1248" s="15">
        <v>42309</v>
      </c>
      <c r="N1248" s="14"/>
      <c r="O1248" s="14"/>
      <c r="P1248" s="14"/>
    </row>
    <row r="1249" spans="1:17" ht="14.4">
      <c r="A1249" s="6" t="s">
        <v>1843</v>
      </c>
      <c r="B1249" s="8">
        <v>1133955603</v>
      </c>
      <c r="C1249" s="89" t="s">
        <v>1844</v>
      </c>
      <c r="H1249" s="57" t="s">
        <v>294</v>
      </c>
      <c r="I1249" s="11"/>
      <c r="J1249" s="11"/>
      <c r="K1249" s="11"/>
      <c r="L1249" s="11"/>
    </row>
    <row r="1250" spans="1:17" ht="14.4">
      <c r="A1250" s="13" t="s">
        <v>1845</v>
      </c>
      <c r="B1250" s="13" t="s">
        <v>1846</v>
      </c>
      <c r="C1250" s="14" t="s">
        <v>1847</v>
      </c>
      <c r="D1250" s="14"/>
      <c r="E1250" s="14"/>
      <c r="F1250" s="14"/>
      <c r="G1250" s="14"/>
      <c r="H1250" s="10"/>
      <c r="I1250" s="10"/>
      <c r="J1250" s="10"/>
      <c r="K1250" s="10"/>
      <c r="L1250" s="10"/>
      <c r="M1250" s="15">
        <v>42064</v>
      </c>
      <c r="N1250" s="14"/>
      <c r="O1250" s="14"/>
      <c r="P1250" s="14"/>
    </row>
    <row r="1251" spans="1:17" ht="14.4">
      <c r="A1251" s="6" t="s">
        <v>1848</v>
      </c>
      <c r="B1251" s="7"/>
      <c r="C1251" s="6" t="s">
        <v>1849</v>
      </c>
      <c r="H1251" s="6" t="s">
        <v>34</v>
      </c>
      <c r="I1251" s="11"/>
      <c r="J1251" s="11"/>
      <c r="K1251" s="11"/>
      <c r="L1251" s="11"/>
    </row>
    <row r="1252" spans="1:17" ht="14.4">
      <c r="A1252" s="6" t="s">
        <v>1848</v>
      </c>
      <c r="B1252" s="6"/>
      <c r="C1252" s="6" t="s">
        <v>1849</v>
      </c>
      <c r="H1252" s="9" t="s">
        <v>109</v>
      </c>
      <c r="I1252" s="11"/>
      <c r="J1252" s="11"/>
      <c r="K1252" s="11"/>
      <c r="L1252" s="11"/>
    </row>
    <row r="1253" spans="1:17" ht="14.4">
      <c r="A1253" s="6" t="s">
        <v>1848</v>
      </c>
      <c r="B1253" s="6"/>
      <c r="C1253" s="6" t="s">
        <v>1849</v>
      </c>
      <c r="H1253" s="9"/>
      <c r="I1253" s="11"/>
      <c r="J1253" s="11" t="s">
        <v>159</v>
      </c>
      <c r="K1253" s="11"/>
      <c r="L1253" s="11"/>
    </row>
    <row r="1254" spans="1:17" ht="14.4">
      <c r="A1254" s="6" t="s">
        <v>1848</v>
      </c>
      <c r="B1254" s="6"/>
      <c r="C1254" s="6" t="s">
        <v>1849</v>
      </c>
      <c r="H1254" s="9"/>
      <c r="I1254" s="11"/>
      <c r="J1254" s="11"/>
      <c r="K1254" s="11"/>
      <c r="L1254" s="11" t="s">
        <v>75</v>
      </c>
    </row>
    <row r="1255" spans="1:17" ht="14.4">
      <c r="A1255" s="6" t="s">
        <v>1848</v>
      </c>
      <c r="B1255" s="6"/>
      <c r="C1255" s="6" t="s">
        <v>1849</v>
      </c>
      <c r="H1255" s="9"/>
      <c r="I1255" s="11"/>
      <c r="J1255" s="11"/>
      <c r="K1255" s="11" t="s">
        <v>159</v>
      </c>
      <c r="L1255" s="11"/>
    </row>
    <row r="1256" spans="1:17" ht="14.4">
      <c r="A1256" s="6" t="s">
        <v>1848</v>
      </c>
      <c r="B1256" s="7"/>
      <c r="C1256" s="7"/>
      <c r="H1256" s="9"/>
      <c r="I1256" s="11"/>
      <c r="J1256" s="11"/>
      <c r="K1256" s="11"/>
      <c r="L1256" s="11"/>
      <c r="Q1256" s="16">
        <v>45713</v>
      </c>
    </row>
    <row r="1257" spans="1:17" ht="14.4">
      <c r="A1257" s="6" t="s">
        <v>1850</v>
      </c>
      <c r="B1257" s="8">
        <v>2215947174</v>
      </c>
      <c r="C1257" s="6" t="s">
        <v>1851</v>
      </c>
      <c r="H1257" s="22"/>
      <c r="I1257" s="11"/>
      <c r="J1257" s="11"/>
      <c r="K1257" s="10" t="s">
        <v>74</v>
      </c>
      <c r="L1257" s="11"/>
    </row>
    <row r="1258" spans="1:17" ht="14.4">
      <c r="A1258" s="6" t="s">
        <v>1850</v>
      </c>
      <c r="B1258" s="7"/>
      <c r="C1258" s="6"/>
      <c r="H1258" s="9" t="s">
        <v>49</v>
      </c>
      <c r="I1258" s="11"/>
      <c r="J1258" s="11"/>
      <c r="K1258" s="11"/>
      <c r="L1258" s="11"/>
    </row>
    <row r="1259" spans="1:17" ht="14.4">
      <c r="A1259" s="6" t="s">
        <v>1852</v>
      </c>
      <c r="B1259" s="7"/>
      <c r="C1259" s="6" t="s">
        <v>1853</v>
      </c>
      <c r="H1259" s="6" t="s">
        <v>34</v>
      </c>
      <c r="I1259" s="11"/>
      <c r="J1259" s="11"/>
      <c r="K1259" s="11"/>
      <c r="L1259" s="11"/>
    </row>
    <row r="1260" spans="1:17" ht="14.4">
      <c r="A1260" s="6" t="s">
        <v>1852</v>
      </c>
      <c r="B1260" s="6"/>
      <c r="C1260" s="6" t="s">
        <v>1853</v>
      </c>
      <c r="H1260" s="9" t="s">
        <v>109</v>
      </c>
      <c r="I1260" s="11"/>
      <c r="J1260" s="11"/>
      <c r="K1260" s="11"/>
      <c r="L1260" s="11"/>
    </row>
    <row r="1261" spans="1:17" ht="14.4">
      <c r="A1261" s="25" t="s">
        <v>1854</v>
      </c>
      <c r="B1261" s="105">
        <v>1557526118</v>
      </c>
      <c r="C1261" s="25" t="s">
        <v>1855</v>
      </c>
      <c r="D1261" s="21" t="s">
        <v>355</v>
      </c>
      <c r="H1261" s="22"/>
      <c r="I1261" s="11"/>
      <c r="J1261" s="11"/>
      <c r="K1261" s="11"/>
      <c r="L1261" s="11"/>
      <c r="P1261" s="14"/>
    </row>
    <row r="1262" spans="1:17" ht="14.4">
      <c r="A1262" s="14" t="s">
        <v>1856</v>
      </c>
      <c r="B1262" s="14"/>
      <c r="C1262" s="14" t="s">
        <v>1857</v>
      </c>
      <c r="D1262" s="14"/>
      <c r="E1262" s="14"/>
      <c r="F1262" s="14"/>
      <c r="G1262" s="14"/>
      <c r="H1262" s="20">
        <v>41791</v>
      </c>
      <c r="I1262" s="10"/>
      <c r="J1262" s="10"/>
      <c r="K1262" s="10"/>
      <c r="L1262" s="10"/>
      <c r="M1262" s="14"/>
      <c r="N1262" s="14"/>
      <c r="O1262" s="14"/>
      <c r="P1262" s="14"/>
    </row>
    <row r="1263" spans="1:17" ht="14.4">
      <c r="A1263" s="6" t="s">
        <v>1858</v>
      </c>
      <c r="B1263" s="7"/>
      <c r="C1263" s="6" t="s">
        <v>1859</v>
      </c>
      <c r="H1263" s="22"/>
      <c r="I1263" s="11" t="s">
        <v>101</v>
      </c>
      <c r="J1263" s="35">
        <v>45252</v>
      </c>
      <c r="K1263" s="11"/>
      <c r="L1263" s="11"/>
    </row>
    <row r="1264" spans="1:17" ht="14.4">
      <c r="A1264" s="6" t="s">
        <v>1858</v>
      </c>
      <c r="B1264" s="7"/>
      <c r="C1264" s="7"/>
      <c r="H1264" s="9"/>
      <c r="I1264" s="11"/>
      <c r="J1264" s="11"/>
      <c r="K1264" s="11"/>
      <c r="L1264" s="11" t="s">
        <v>75</v>
      </c>
    </row>
    <row r="1265" spans="1:16" ht="14.4">
      <c r="A1265" s="6" t="s">
        <v>1860</v>
      </c>
      <c r="B1265" s="7"/>
      <c r="C1265" s="18" t="s">
        <v>1861</v>
      </c>
      <c r="H1265" s="6" t="s">
        <v>34</v>
      </c>
      <c r="I1265" s="11"/>
      <c r="J1265" s="11"/>
      <c r="K1265" s="11"/>
      <c r="L1265" s="11"/>
    </row>
    <row r="1266" spans="1:16" ht="14.4">
      <c r="A1266" s="6" t="s">
        <v>1860</v>
      </c>
      <c r="B1266" s="7"/>
      <c r="C1266" s="7"/>
      <c r="H1266" s="9" t="s">
        <v>109</v>
      </c>
      <c r="I1266" s="11"/>
      <c r="J1266" s="11"/>
      <c r="K1266" s="11"/>
      <c r="L1266" s="11"/>
    </row>
    <row r="1267" spans="1:16" ht="14.4">
      <c r="A1267" s="6" t="s">
        <v>1860</v>
      </c>
      <c r="B1267" s="7"/>
      <c r="C1267" s="7"/>
      <c r="H1267" s="9"/>
      <c r="I1267" s="11"/>
      <c r="J1267" s="11" t="s">
        <v>159</v>
      </c>
      <c r="K1267" s="11"/>
      <c r="L1267" s="11"/>
    </row>
    <row r="1268" spans="1:16" ht="14.4">
      <c r="A1268" s="6" t="s">
        <v>1860</v>
      </c>
      <c r="B1268" s="7"/>
      <c r="C1268" s="7"/>
      <c r="H1268" s="9"/>
      <c r="I1268" s="11"/>
      <c r="J1268" s="11"/>
      <c r="K1268" s="11"/>
      <c r="L1268" s="11" t="s">
        <v>75</v>
      </c>
    </row>
    <row r="1269" spans="1:16" ht="14.4">
      <c r="A1269" s="6" t="s">
        <v>1860</v>
      </c>
      <c r="B1269" s="7"/>
      <c r="C1269" s="7"/>
      <c r="H1269" s="9"/>
      <c r="I1269" s="11"/>
      <c r="J1269" s="11"/>
      <c r="K1269" s="17" t="s">
        <v>20</v>
      </c>
      <c r="L1269" s="11"/>
    </row>
    <row r="1270" spans="1:16" ht="14.4">
      <c r="A1270" s="14" t="s">
        <v>1862</v>
      </c>
      <c r="B1270" s="14"/>
      <c r="C1270" s="19" t="str">
        <f>HYPERLINK("mailto:pablo_plep@hotmail.com","pablo_plep@hotmail.com")</f>
        <v>pablo_plep@hotmail.com</v>
      </c>
      <c r="D1270" s="14"/>
      <c r="E1270" s="15">
        <v>41365</v>
      </c>
      <c r="F1270" s="14"/>
      <c r="G1270" s="14"/>
      <c r="H1270" s="10"/>
      <c r="I1270" s="10"/>
      <c r="J1270" s="10"/>
      <c r="K1270" s="10"/>
      <c r="L1270" s="10"/>
      <c r="M1270" s="14"/>
      <c r="N1270" s="14"/>
      <c r="O1270" s="14"/>
      <c r="P1270" s="14"/>
    </row>
    <row r="1271" spans="1:16" ht="14.4">
      <c r="A1271" s="6" t="s">
        <v>1863</v>
      </c>
      <c r="B1271" s="7"/>
      <c r="C1271" s="6"/>
      <c r="H1271" s="42">
        <v>45954</v>
      </c>
      <c r="I1271" s="11"/>
      <c r="J1271" s="11"/>
      <c r="K1271" s="11"/>
      <c r="L1271" s="11"/>
    </row>
    <row r="1272" spans="1:16" ht="14.4">
      <c r="A1272" s="9" t="s">
        <v>1863</v>
      </c>
      <c r="B1272" s="7"/>
      <c r="C1272" s="6"/>
      <c r="H1272" s="9"/>
      <c r="I1272" s="41">
        <v>45985</v>
      </c>
      <c r="J1272" s="11"/>
      <c r="K1272" s="11"/>
      <c r="L1272" s="11"/>
    </row>
    <row r="1273" spans="1:16" ht="14.4">
      <c r="A1273" s="6" t="s">
        <v>1864</v>
      </c>
      <c r="B1273" s="7"/>
      <c r="C1273" s="6"/>
      <c r="H1273" s="9" t="s">
        <v>49</v>
      </c>
      <c r="I1273" s="10" t="s">
        <v>50</v>
      </c>
      <c r="J1273" s="11"/>
      <c r="K1273" s="11"/>
      <c r="L1273" s="11"/>
    </row>
    <row r="1274" spans="1:16" ht="14.4">
      <c r="A1274" s="6" t="s">
        <v>1864</v>
      </c>
      <c r="B1274" s="7"/>
      <c r="C1274" s="6"/>
      <c r="H1274" s="9"/>
      <c r="I1274" s="11"/>
      <c r="J1274" s="10" t="s">
        <v>51</v>
      </c>
      <c r="K1274" s="11"/>
      <c r="L1274" s="11"/>
    </row>
    <row r="1275" spans="1:16" ht="14.4">
      <c r="A1275" s="6" t="s">
        <v>1865</v>
      </c>
      <c r="B1275" s="8">
        <v>1163038116</v>
      </c>
      <c r="C1275" s="6" t="s">
        <v>1866</v>
      </c>
      <c r="H1275" s="53" t="s">
        <v>220</v>
      </c>
      <c r="I1275" s="11"/>
      <c r="J1275" s="11"/>
      <c r="K1275" s="11"/>
      <c r="L1275" s="11"/>
    </row>
    <row r="1276" spans="1:16" ht="14.4">
      <c r="A1276" s="14" t="s">
        <v>1867</v>
      </c>
      <c r="B1276" s="14" t="s">
        <v>1868</v>
      </c>
      <c r="C1276" s="19" t="str">
        <f>HYPERLINK("mailto:pablo.castriola@gmail.com","pablo.castriola@gmail.com")</f>
        <v>pablo.castriola@gmail.com</v>
      </c>
      <c r="D1276" s="15">
        <v>41395</v>
      </c>
      <c r="E1276" s="14"/>
      <c r="F1276" s="15">
        <v>41487</v>
      </c>
      <c r="G1276" s="14"/>
      <c r="H1276" s="10"/>
      <c r="I1276" s="10"/>
      <c r="J1276" s="10"/>
      <c r="K1276" s="10"/>
      <c r="L1276" s="10"/>
      <c r="M1276" s="14"/>
      <c r="N1276" s="14"/>
      <c r="O1276" s="14"/>
    </row>
    <row r="1277" spans="1:16" ht="14.4">
      <c r="A1277" s="14" t="s">
        <v>1869</v>
      </c>
      <c r="B1277" s="13">
        <v>1564026314</v>
      </c>
      <c r="C1277" s="14" t="s">
        <v>1870</v>
      </c>
      <c r="D1277" s="15">
        <v>41214</v>
      </c>
      <c r="E1277" s="14"/>
      <c r="F1277" s="14"/>
      <c r="G1277" s="14"/>
      <c r="H1277" s="10"/>
      <c r="I1277" s="10"/>
      <c r="J1277" s="10"/>
      <c r="K1277" s="10"/>
      <c r="L1277" s="10"/>
      <c r="M1277" s="14"/>
      <c r="N1277" s="14"/>
      <c r="O1277" s="14"/>
      <c r="P1277" s="14"/>
    </row>
    <row r="1278" spans="1:16" ht="14.4">
      <c r="A1278" s="9" t="s">
        <v>1871</v>
      </c>
      <c r="B1278" s="107" t="s">
        <v>1872</v>
      </c>
      <c r="C1278" s="54" t="s">
        <v>1873</v>
      </c>
      <c r="H1278" s="57" t="s">
        <v>294</v>
      </c>
      <c r="I1278" s="11"/>
      <c r="J1278" s="11"/>
      <c r="K1278" s="11"/>
      <c r="L1278" s="11"/>
    </row>
    <row r="1279" spans="1:16" ht="14.4">
      <c r="A1279" s="13" t="s">
        <v>1874</v>
      </c>
      <c r="B1279" s="13" t="s">
        <v>1875</v>
      </c>
      <c r="C1279" s="13" t="s">
        <v>1876</v>
      </c>
      <c r="D1279" s="15">
        <v>41518</v>
      </c>
      <c r="E1279" s="14"/>
      <c r="F1279" s="14"/>
      <c r="G1279" s="14"/>
      <c r="H1279" s="10"/>
      <c r="I1279" s="10"/>
      <c r="J1279" s="10"/>
      <c r="K1279" s="10"/>
      <c r="L1279" s="10"/>
      <c r="M1279" s="14"/>
      <c r="N1279" s="14"/>
      <c r="O1279" s="14"/>
      <c r="P1279" s="14"/>
    </row>
    <row r="1280" spans="1:16" ht="14.4">
      <c r="A1280" s="108" t="s">
        <v>1877</v>
      </c>
      <c r="B1280" s="26">
        <v>1540289831</v>
      </c>
      <c r="C1280" s="106" t="s">
        <v>1878</v>
      </c>
      <c r="E1280" s="39">
        <v>43149</v>
      </c>
      <c r="H1280" s="22"/>
      <c r="I1280" s="11"/>
      <c r="J1280" s="11"/>
      <c r="K1280" s="11"/>
      <c r="L1280" s="11"/>
      <c r="P1280" s="14"/>
    </row>
    <row r="1281" spans="1:17" ht="14.4">
      <c r="A1281" s="14" t="s">
        <v>1879</v>
      </c>
      <c r="B1281" s="14"/>
      <c r="C1281" s="19" t="str">
        <f>HYPERLINK("mailto:leftraru1778@live.com.ar","leftraru1778@live.com.ar")</f>
        <v>leftraru1778@live.com.ar</v>
      </c>
      <c r="D1281" s="14"/>
      <c r="E1281" s="15">
        <v>41671</v>
      </c>
      <c r="F1281" s="14"/>
      <c r="G1281" s="14"/>
      <c r="H1281" s="10"/>
      <c r="I1281" s="10"/>
      <c r="J1281" s="10"/>
      <c r="K1281" s="10"/>
      <c r="L1281" s="10"/>
      <c r="M1281" s="14"/>
      <c r="N1281" s="14"/>
      <c r="O1281" s="14"/>
      <c r="P1281" s="14"/>
    </row>
    <row r="1282" spans="1:17" ht="14.4">
      <c r="A1282" s="13" t="s">
        <v>1880</v>
      </c>
      <c r="B1282" s="13" t="s">
        <v>1881</v>
      </c>
      <c r="C1282" s="14" t="s">
        <v>1882</v>
      </c>
      <c r="D1282" s="14"/>
      <c r="E1282" s="14"/>
      <c r="F1282" s="14"/>
      <c r="G1282" s="14"/>
      <c r="H1282" s="10"/>
      <c r="I1282" s="10"/>
      <c r="J1282" s="10"/>
      <c r="K1282" s="10"/>
      <c r="L1282" s="10"/>
      <c r="M1282" s="15">
        <v>42064</v>
      </c>
      <c r="N1282" s="14"/>
      <c r="O1282" s="14"/>
      <c r="P1282" s="14"/>
    </row>
    <row r="1283" spans="1:17" ht="14.4">
      <c r="A1283" s="9" t="s">
        <v>1883</v>
      </c>
      <c r="B1283" s="7"/>
      <c r="C1283" s="7"/>
      <c r="H1283" s="9" t="s">
        <v>159</v>
      </c>
      <c r="I1283" s="11"/>
      <c r="J1283" s="11"/>
      <c r="K1283" s="11"/>
      <c r="L1283" s="11"/>
    </row>
    <row r="1284" spans="1:17" ht="14.4">
      <c r="A1284" s="6" t="s">
        <v>1883</v>
      </c>
      <c r="B1284" s="7"/>
      <c r="C1284" s="7"/>
      <c r="H1284" s="9"/>
      <c r="I1284" s="11"/>
      <c r="J1284" s="11"/>
      <c r="K1284" s="11"/>
      <c r="L1284" s="11"/>
      <c r="Q1284" s="12" t="s">
        <v>22</v>
      </c>
    </row>
    <row r="1285" spans="1:17" ht="14.4">
      <c r="A1285" s="6" t="s">
        <v>1884</v>
      </c>
      <c r="B1285" s="7"/>
      <c r="C1285" s="6" t="s">
        <v>1885</v>
      </c>
      <c r="H1285" s="9" t="s">
        <v>159</v>
      </c>
      <c r="I1285" s="11"/>
      <c r="J1285" s="11"/>
      <c r="K1285" s="11"/>
      <c r="L1285" s="11"/>
    </row>
    <row r="1286" spans="1:17" ht="14.4">
      <c r="A1286" s="6" t="s">
        <v>1886</v>
      </c>
      <c r="B1286" s="17">
        <v>1554663684</v>
      </c>
      <c r="C1286" s="17" t="s">
        <v>1887</v>
      </c>
      <c r="E1286" s="21" t="s">
        <v>372</v>
      </c>
      <c r="H1286" s="22"/>
      <c r="I1286" s="11"/>
      <c r="J1286" s="11"/>
      <c r="K1286" s="11"/>
      <c r="L1286" s="11"/>
      <c r="P1286" s="14"/>
    </row>
    <row r="1287" spans="1:17" ht="14.4">
      <c r="A1287" s="14" t="s">
        <v>1888</v>
      </c>
      <c r="B1287" s="14" t="s">
        <v>1889</v>
      </c>
      <c r="C1287" s="14" t="s">
        <v>1890</v>
      </c>
      <c r="D1287" s="14"/>
      <c r="E1287" s="14"/>
      <c r="F1287" s="15">
        <v>41122</v>
      </c>
      <c r="G1287" s="14"/>
      <c r="H1287" s="10"/>
      <c r="I1287" s="10"/>
      <c r="J1287" s="10"/>
      <c r="K1287" s="10"/>
      <c r="L1287" s="10"/>
      <c r="M1287" s="14"/>
      <c r="N1287" s="14"/>
      <c r="O1287" s="14"/>
      <c r="P1287" s="14"/>
    </row>
    <row r="1288" spans="1:17" ht="14.4">
      <c r="A1288" s="6" t="s">
        <v>1891</v>
      </c>
      <c r="B1288" s="27">
        <v>1153285808</v>
      </c>
      <c r="C1288" s="18" t="s">
        <v>1892</v>
      </c>
      <c r="H1288" s="22"/>
      <c r="I1288" s="10" t="s">
        <v>215</v>
      </c>
      <c r="J1288" s="11"/>
      <c r="K1288" s="10" t="s">
        <v>39</v>
      </c>
      <c r="L1288" s="10"/>
    </row>
    <row r="1289" spans="1:17" ht="14.4">
      <c r="A1289" s="6" t="s">
        <v>1893</v>
      </c>
      <c r="B1289" s="7"/>
      <c r="C1289" s="7"/>
      <c r="H1289" s="9"/>
      <c r="I1289" s="11"/>
      <c r="J1289" s="11"/>
      <c r="K1289" s="11"/>
      <c r="L1289" s="11" t="s">
        <v>75</v>
      </c>
    </row>
    <row r="1290" spans="1:17" ht="14.4">
      <c r="A1290" s="6" t="s">
        <v>1894</v>
      </c>
      <c r="B1290" s="33">
        <v>1164948818</v>
      </c>
      <c r="C1290" s="6" t="s">
        <v>1895</v>
      </c>
      <c r="H1290" s="53" t="s">
        <v>194</v>
      </c>
      <c r="I1290" s="43" t="s">
        <v>247</v>
      </c>
      <c r="J1290" s="11"/>
      <c r="K1290" s="57" t="s">
        <v>294</v>
      </c>
      <c r="L1290" s="11"/>
    </row>
    <row r="1291" spans="1:17" ht="14.4">
      <c r="A1291" s="6" t="s">
        <v>1894</v>
      </c>
      <c r="B1291" s="8">
        <v>1164948818</v>
      </c>
      <c r="C1291" s="6" t="s">
        <v>1895</v>
      </c>
      <c r="H1291" s="9"/>
      <c r="I1291" s="9" t="s">
        <v>109</v>
      </c>
      <c r="J1291" s="11"/>
      <c r="K1291" s="11"/>
      <c r="L1291" s="11"/>
    </row>
    <row r="1292" spans="1:17" ht="14.4">
      <c r="A1292" s="14" t="s">
        <v>1896</v>
      </c>
      <c r="B1292" s="14" t="s">
        <v>1897</v>
      </c>
      <c r="C1292" s="14" t="s">
        <v>1898</v>
      </c>
      <c r="D1292" s="14"/>
      <c r="E1292" s="14"/>
      <c r="F1292" s="15">
        <v>41760</v>
      </c>
      <c r="G1292" s="15">
        <v>41852</v>
      </c>
      <c r="H1292" s="20">
        <v>41883</v>
      </c>
      <c r="I1292" s="20">
        <v>42125</v>
      </c>
      <c r="J1292" s="20"/>
      <c r="K1292" s="20"/>
      <c r="L1292" s="20"/>
      <c r="M1292" s="14"/>
      <c r="N1292" s="14"/>
      <c r="O1292" s="14"/>
      <c r="P1292" s="14"/>
    </row>
    <row r="1293" spans="1:17" ht="14.4">
      <c r="A1293" s="6" t="s">
        <v>1899</v>
      </c>
      <c r="B1293" s="7"/>
      <c r="C1293" s="6"/>
      <c r="H1293" s="9"/>
      <c r="I1293" s="11"/>
      <c r="J1293" s="11"/>
      <c r="K1293" s="10" t="s">
        <v>49</v>
      </c>
      <c r="L1293" s="11"/>
    </row>
    <row r="1294" spans="1:17" ht="14.4">
      <c r="A1294" s="14" t="s">
        <v>1900</v>
      </c>
      <c r="B1294" s="17">
        <v>1165881163</v>
      </c>
      <c r="C1294" s="14" t="s">
        <v>1901</v>
      </c>
      <c r="D1294" s="21" t="s">
        <v>256</v>
      </c>
      <c r="E1294" s="14"/>
      <c r="F1294" s="14"/>
      <c r="G1294" s="14"/>
      <c r="H1294" s="23" t="s">
        <v>257</v>
      </c>
      <c r="I1294" s="10"/>
      <c r="J1294" s="10"/>
      <c r="K1294" s="10"/>
      <c r="L1294" s="10"/>
      <c r="M1294" s="14"/>
      <c r="N1294" s="14"/>
      <c r="O1294" s="14"/>
      <c r="P1294" s="14"/>
    </row>
    <row r="1295" spans="1:17" ht="14.4">
      <c r="A1295" s="9" t="s">
        <v>1902</v>
      </c>
      <c r="B1295" s="7"/>
      <c r="C1295" s="6" t="s">
        <v>1903</v>
      </c>
      <c r="H1295" s="9" t="s">
        <v>94</v>
      </c>
      <c r="I1295" s="11"/>
      <c r="J1295" s="11"/>
      <c r="K1295" s="11"/>
      <c r="L1295" s="11"/>
    </row>
    <row r="1296" spans="1:17" ht="14.4">
      <c r="A1296" s="9" t="s">
        <v>1902</v>
      </c>
      <c r="B1296" s="7"/>
      <c r="C1296" s="6"/>
      <c r="H1296" s="9" t="s">
        <v>94</v>
      </c>
      <c r="I1296" s="11"/>
      <c r="J1296" s="11"/>
      <c r="K1296" s="11"/>
      <c r="L1296" s="11"/>
    </row>
    <row r="1297" spans="1:17" ht="14.4">
      <c r="A1297" s="25" t="s">
        <v>1904</v>
      </c>
      <c r="B1297" s="26">
        <v>1164143565</v>
      </c>
      <c r="C1297" s="26" t="s">
        <v>1905</v>
      </c>
      <c r="E1297" s="39">
        <v>43149</v>
      </c>
      <c r="H1297" s="22"/>
      <c r="I1297" s="11"/>
      <c r="J1297" s="11"/>
      <c r="K1297" s="11"/>
      <c r="L1297" s="11"/>
      <c r="P1297" s="14"/>
    </row>
    <row r="1298" spans="1:17" ht="14.4">
      <c r="A1298" s="6" t="s">
        <v>1906</v>
      </c>
      <c r="B1298" s="7"/>
      <c r="C1298" s="7"/>
      <c r="H1298" s="9"/>
      <c r="I1298" s="11"/>
      <c r="J1298" s="11"/>
      <c r="K1298" s="11"/>
      <c r="L1298" s="11"/>
      <c r="Q1298" s="16">
        <v>45713</v>
      </c>
    </row>
    <row r="1299" spans="1:17" ht="14.4">
      <c r="A1299" s="6" t="s">
        <v>1907</v>
      </c>
      <c r="B1299" s="7"/>
      <c r="C1299" s="6" t="s">
        <v>1908</v>
      </c>
      <c r="H1299" s="6" t="s">
        <v>34</v>
      </c>
      <c r="I1299" s="11"/>
      <c r="J1299" s="11"/>
      <c r="K1299" s="11"/>
      <c r="L1299" s="11"/>
    </row>
    <row r="1300" spans="1:17" ht="14.4">
      <c r="A1300" s="14" t="s">
        <v>1909</v>
      </c>
      <c r="B1300" s="14" t="s">
        <v>1910</v>
      </c>
      <c r="C1300" s="14" t="s">
        <v>1911</v>
      </c>
      <c r="D1300" s="15">
        <v>41091</v>
      </c>
      <c r="E1300" s="14"/>
      <c r="F1300" s="14"/>
      <c r="G1300" s="14"/>
      <c r="H1300" s="10"/>
      <c r="I1300" s="10"/>
      <c r="J1300" s="10"/>
      <c r="K1300" s="10"/>
      <c r="L1300" s="10"/>
      <c r="M1300" s="14"/>
      <c r="N1300" s="14"/>
      <c r="O1300" s="14"/>
      <c r="P1300" s="14"/>
    </row>
    <row r="1301" spans="1:17" ht="14.4">
      <c r="A1301" s="7" t="s">
        <v>1912</v>
      </c>
      <c r="B1301" s="105" t="s">
        <v>1910</v>
      </c>
      <c r="C1301" s="25" t="s">
        <v>1913</v>
      </c>
      <c r="D1301" s="21" t="s">
        <v>355</v>
      </c>
      <c r="H1301" s="23" t="s">
        <v>742</v>
      </c>
      <c r="I1301" s="11"/>
      <c r="J1301" s="11"/>
      <c r="K1301" s="11"/>
      <c r="L1301" s="11"/>
      <c r="P1301" s="14"/>
    </row>
    <row r="1302" spans="1:17" ht="14.4">
      <c r="A1302" s="6" t="s">
        <v>1914</v>
      </c>
      <c r="B1302" s="7"/>
      <c r="C1302" s="7"/>
      <c r="H1302" s="9"/>
      <c r="I1302" s="11"/>
      <c r="J1302" s="11"/>
      <c r="K1302" s="11"/>
      <c r="L1302" s="11"/>
      <c r="P1302" s="26" t="s">
        <v>75</v>
      </c>
    </row>
    <row r="1303" spans="1:17" ht="14.4">
      <c r="A1303" s="6" t="s">
        <v>1915</v>
      </c>
      <c r="B1303" s="8">
        <v>1157580469</v>
      </c>
      <c r="C1303" s="6" t="s">
        <v>1916</v>
      </c>
      <c r="H1303" s="9" t="s">
        <v>94</v>
      </c>
      <c r="I1303" s="11"/>
      <c r="J1303" s="11"/>
      <c r="K1303" s="11"/>
      <c r="L1303" s="11"/>
    </row>
    <row r="1304" spans="1:17" ht="14.4">
      <c r="A1304" s="6" t="s">
        <v>1915</v>
      </c>
      <c r="B1304" s="7"/>
      <c r="C1304" s="6"/>
      <c r="H1304" s="9" t="s">
        <v>94</v>
      </c>
      <c r="I1304" s="11"/>
      <c r="J1304" s="11"/>
      <c r="K1304" s="11"/>
      <c r="L1304" s="11"/>
    </row>
    <row r="1305" spans="1:17" ht="14.4">
      <c r="A1305" s="6" t="s">
        <v>1917</v>
      </c>
      <c r="B1305" s="33" t="s">
        <v>1918</v>
      </c>
      <c r="C1305" s="17" t="s">
        <v>1919</v>
      </c>
      <c r="D1305" s="49">
        <v>43421</v>
      </c>
      <c r="H1305" s="22"/>
      <c r="I1305" s="11"/>
      <c r="J1305" s="11"/>
      <c r="K1305" s="11"/>
      <c r="L1305" s="11"/>
    </row>
    <row r="1306" spans="1:17" ht="14.4">
      <c r="A1306" s="14" t="s">
        <v>1920</v>
      </c>
      <c r="B1306" s="14" t="s">
        <v>1921</v>
      </c>
      <c r="C1306" s="19" t="str">
        <f>HYPERLINK("mailto:patriciacarabajal.pc@gmail.com","patriciacarabajal.pc@gmail.com")</f>
        <v>patriciacarabajal.pc@gmail.com</v>
      </c>
      <c r="D1306" s="15">
        <v>42095</v>
      </c>
      <c r="E1306" s="14"/>
      <c r="F1306" s="15">
        <v>42156</v>
      </c>
      <c r="G1306" s="14"/>
      <c r="H1306" s="10"/>
      <c r="I1306" s="10"/>
      <c r="J1306" s="10"/>
      <c r="K1306" s="10"/>
      <c r="L1306" s="10"/>
      <c r="M1306" s="14"/>
      <c r="N1306" s="14"/>
      <c r="O1306" s="14"/>
      <c r="P1306" s="14"/>
    </row>
    <row r="1307" spans="1:17" ht="14.4">
      <c r="A1307" s="6" t="s">
        <v>1922</v>
      </c>
      <c r="B1307" s="7"/>
      <c r="C1307" s="6"/>
      <c r="H1307" s="9" t="s">
        <v>51</v>
      </c>
      <c r="I1307" s="11"/>
      <c r="J1307" s="11"/>
      <c r="K1307" s="11"/>
      <c r="L1307" s="11"/>
    </row>
    <row r="1308" spans="1:17" ht="14.4">
      <c r="A1308" s="14" t="s">
        <v>1923</v>
      </c>
      <c r="B1308" s="13">
        <v>1550281630</v>
      </c>
      <c r="C1308" s="14" t="s">
        <v>1924</v>
      </c>
      <c r="D1308" s="15">
        <v>41214</v>
      </c>
      <c r="E1308" s="14"/>
      <c r="F1308" s="14"/>
      <c r="G1308" s="14"/>
      <c r="H1308" s="10"/>
      <c r="I1308" s="10"/>
      <c r="J1308" s="10"/>
      <c r="K1308" s="10"/>
      <c r="L1308" s="10"/>
      <c r="M1308" s="14"/>
      <c r="N1308" s="14"/>
      <c r="O1308" s="14"/>
      <c r="P1308" s="14"/>
    </row>
    <row r="1309" spans="1:17" ht="14.4">
      <c r="A1309" s="6" t="s">
        <v>1925</v>
      </c>
      <c r="B1309" s="7"/>
      <c r="C1309" s="6"/>
      <c r="H1309" s="9" t="s">
        <v>51</v>
      </c>
      <c r="I1309" s="11"/>
      <c r="J1309" s="11"/>
      <c r="K1309" s="11"/>
      <c r="L1309" s="11"/>
    </row>
    <row r="1310" spans="1:17" ht="14.4">
      <c r="A1310" s="6" t="s">
        <v>1926</v>
      </c>
      <c r="B1310" s="27">
        <v>1167983379</v>
      </c>
      <c r="C1310" s="17" t="s">
        <v>1927</v>
      </c>
      <c r="E1310" s="21" t="s">
        <v>132</v>
      </c>
      <c r="H1310" s="22"/>
      <c r="I1310" s="11"/>
      <c r="J1310" s="11"/>
      <c r="K1310" s="11"/>
      <c r="L1310" s="11"/>
      <c r="P1310" s="14"/>
    </row>
    <row r="1311" spans="1:17" ht="14.4">
      <c r="A1311" s="6" t="s">
        <v>1928</v>
      </c>
      <c r="B1311" s="7"/>
      <c r="C1311" s="6" t="s">
        <v>1929</v>
      </c>
      <c r="H1311" s="69" t="s">
        <v>269</v>
      </c>
      <c r="I1311" s="11" t="s">
        <v>110</v>
      </c>
      <c r="J1311" s="11"/>
      <c r="K1311" s="11"/>
      <c r="L1311" s="11"/>
    </row>
    <row r="1312" spans="1:17" ht="14.4">
      <c r="A1312" s="45" t="s">
        <v>1930</v>
      </c>
      <c r="B1312" s="45">
        <v>1524376888</v>
      </c>
      <c r="C1312" s="46" t="str">
        <f>HYPERLINK("mailto:patri_leo2001@hotmail.com","patri_leo2001@hotmail.com")</f>
        <v>patri_leo2001@hotmail.com</v>
      </c>
      <c r="D1312" s="14"/>
      <c r="E1312" s="15">
        <v>41913</v>
      </c>
      <c r="F1312" s="14"/>
      <c r="G1312" s="14"/>
      <c r="H1312" s="10"/>
      <c r="I1312" s="10"/>
      <c r="J1312" s="10"/>
      <c r="K1312" s="10"/>
      <c r="L1312" s="10"/>
      <c r="M1312" s="14"/>
      <c r="N1312" s="14"/>
      <c r="O1312" s="14"/>
      <c r="P1312" s="14"/>
    </row>
    <row r="1313" spans="1:15" ht="14.4">
      <c r="A1313" s="14" t="s">
        <v>1931</v>
      </c>
      <c r="B1313" s="14"/>
      <c r="C1313" s="14" t="s">
        <v>1932</v>
      </c>
      <c r="D1313" s="14"/>
      <c r="E1313" s="14"/>
      <c r="F1313" s="14"/>
      <c r="G1313" s="14"/>
      <c r="H1313" s="10"/>
      <c r="I1313" s="10"/>
      <c r="J1313" s="10"/>
      <c r="K1313" s="10"/>
      <c r="L1313" s="10"/>
      <c r="M1313" s="14"/>
      <c r="N1313" s="14"/>
      <c r="O1313" s="14"/>
    </row>
    <row r="1314" spans="1:15" ht="14.4">
      <c r="A1314" s="6" t="s">
        <v>1933</v>
      </c>
      <c r="B1314" s="7"/>
      <c r="C1314" s="6"/>
      <c r="H1314" s="42">
        <v>45954</v>
      </c>
      <c r="I1314" s="11"/>
      <c r="J1314" s="11"/>
      <c r="K1314" s="11"/>
      <c r="L1314" s="11"/>
    </row>
    <row r="1315" spans="1:15" ht="14.4">
      <c r="A1315" s="6" t="s">
        <v>1933</v>
      </c>
      <c r="B1315" s="7"/>
      <c r="C1315" s="6"/>
      <c r="H1315" s="9"/>
      <c r="I1315" s="41">
        <v>45985</v>
      </c>
      <c r="J1315" s="11"/>
      <c r="K1315" s="11"/>
      <c r="L1315" s="11"/>
    </row>
    <row r="1316" spans="1:15" ht="14.4">
      <c r="A1316" s="14" t="s">
        <v>1934</v>
      </c>
      <c r="B1316" s="14" t="s">
        <v>1935</v>
      </c>
      <c r="C1316" s="19" t="str">
        <f>HYPERLINK("mailto:pbasile@cronicatv.com.ar","pbasile@cronicatv.com.ar")</f>
        <v>pbasile@cronicatv.com.ar</v>
      </c>
      <c r="D1316" s="15">
        <v>41183</v>
      </c>
      <c r="E1316" s="14"/>
      <c r="F1316" s="14"/>
      <c r="G1316" s="14"/>
      <c r="H1316" s="10"/>
      <c r="I1316" s="10"/>
      <c r="J1316" s="10"/>
      <c r="K1316" s="10"/>
      <c r="L1316" s="10"/>
      <c r="M1316" s="14"/>
      <c r="N1316" s="14"/>
      <c r="O1316" s="14"/>
    </row>
    <row r="1317" spans="1:15" ht="14.4">
      <c r="A1317" s="6" t="s">
        <v>1936</v>
      </c>
      <c r="B1317" s="7"/>
      <c r="C1317" s="7"/>
      <c r="H1317" s="9" t="s">
        <v>23</v>
      </c>
      <c r="I1317" s="11"/>
      <c r="J1317" s="11"/>
      <c r="K1317" s="11"/>
      <c r="L1317" s="11"/>
    </row>
    <row r="1318" spans="1:15" ht="14.4">
      <c r="A1318" s="9" t="s">
        <v>1936</v>
      </c>
      <c r="B1318" s="7"/>
      <c r="C1318" s="7"/>
      <c r="H1318" s="9"/>
      <c r="I1318" s="11" t="s">
        <v>24</v>
      </c>
      <c r="J1318" s="11"/>
      <c r="K1318" s="11"/>
      <c r="L1318" s="11"/>
    </row>
    <row r="1319" spans="1:15" ht="14.4">
      <c r="A1319" s="13" t="s">
        <v>1937</v>
      </c>
      <c r="B1319" s="13" t="s">
        <v>1938</v>
      </c>
      <c r="C1319" s="13" t="s">
        <v>1939</v>
      </c>
      <c r="D1319" s="14"/>
      <c r="E1319" s="15">
        <v>42248</v>
      </c>
      <c r="F1319" s="21" t="s">
        <v>135</v>
      </c>
      <c r="G1319" s="14"/>
      <c r="H1319" s="10"/>
      <c r="I1319" s="10"/>
      <c r="J1319" s="10"/>
      <c r="K1319" s="10"/>
      <c r="L1319" s="10"/>
      <c r="M1319" s="14"/>
      <c r="N1319" s="14"/>
      <c r="O1319" s="14"/>
    </row>
    <row r="1320" spans="1:15" ht="14.4">
      <c r="A1320" s="6" t="s">
        <v>1940</v>
      </c>
      <c r="B1320" s="7"/>
      <c r="C1320" s="7"/>
      <c r="H1320" s="9" t="s">
        <v>23</v>
      </c>
      <c r="I1320" s="11"/>
      <c r="J1320" s="11"/>
      <c r="K1320" s="11"/>
      <c r="L1320" s="11"/>
    </row>
    <row r="1321" spans="1:15" ht="14.4">
      <c r="A1321" s="9" t="s">
        <v>1940</v>
      </c>
      <c r="B1321" s="7"/>
      <c r="C1321" s="7"/>
      <c r="H1321" s="9"/>
      <c r="I1321" s="11" t="s">
        <v>24</v>
      </c>
      <c r="J1321" s="11"/>
      <c r="K1321" s="11"/>
      <c r="L1321" s="11"/>
    </row>
    <row r="1322" spans="1:15" ht="14.4">
      <c r="A1322" s="14" t="s">
        <v>1941</v>
      </c>
      <c r="B1322" s="13" t="s">
        <v>1942</v>
      </c>
      <c r="C1322" s="19" t="str">
        <f>HYPERLINK("mailto:paulabarberi@gmail.com","paulabarberi@gmail.com")</f>
        <v>paulabarberi@gmail.com</v>
      </c>
      <c r="D1322" s="15">
        <v>41334</v>
      </c>
      <c r="E1322" s="14"/>
      <c r="F1322" s="15">
        <v>41426</v>
      </c>
      <c r="G1322" s="14"/>
      <c r="H1322" s="20">
        <v>41395</v>
      </c>
      <c r="I1322" s="10"/>
      <c r="J1322" s="10"/>
      <c r="K1322" s="10"/>
      <c r="L1322" s="10"/>
      <c r="M1322" s="14"/>
      <c r="N1322" s="14"/>
      <c r="O1322" s="14"/>
    </row>
    <row r="1323" spans="1:15" ht="14.4">
      <c r="A1323" s="6" t="s">
        <v>1943</v>
      </c>
      <c r="B1323" s="7"/>
      <c r="C1323" s="6"/>
      <c r="H1323" s="9" t="s">
        <v>49</v>
      </c>
      <c r="I1323" s="10" t="s">
        <v>50</v>
      </c>
      <c r="J1323" s="11"/>
      <c r="K1323" s="11"/>
      <c r="L1323" s="11"/>
    </row>
    <row r="1324" spans="1:15" ht="14.4">
      <c r="A1324" s="6" t="s">
        <v>1943</v>
      </c>
      <c r="B1324" s="7"/>
      <c r="C1324" s="6"/>
      <c r="H1324" s="9"/>
      <c r="I1324" s="11"/>
      <c r="J1324" s="10" t="s">
        <v>51</v>
      </c>
      <c r="K1324" s="11"/>
      <c r="L1324" s="11"/>
    </row>
    <row r="1325" spans="1:15" ht="14.4">
      <c r="A1325" s="9" t="s">
        <v>1944</v>
      </c>
      <c r="B1325" s="53"/>
      <c r="C1325" s="6" t="s">
        <v>1945</v>
      </c>
      <c r="H1325" s="9"/>
      <c r="I1325" s="11"/>
      <c r="J1325" s="10" t="s">
        <v>67</v>
      </c>
      <c r="K1325" s="11"/>
      <c r="L1325" s="11"/>
    </row>
    <row r="1326" spans="1:15" ht="14.4">
      <c r="A1326" s="9" t="s">
        <v>1944</v>
      </c>
      <c r="B1326" s="53"/>
      <c r="C1326" s="6" t="s">
        <v>1945</v>
      </c>
      <c r="H1326" s="9"/>
      <c r="I1326" s="11"/>
      <c r="J1326" s="11"/>
      <c r="K1326" s="17" t="s">
        <v>68</v>
      </c>
      <c r="L1326" s="11"/>
    </row>
    <row r="1327" spans="1:15" ht="14.4">
      <c r="A1327" s="6" t="s">
        <v>1944</v>
      </c>
      <c r="B1327" s="7"/>
      <c r="C1327" s="6"/>
      <c r="H1327" s="9"/>
      <c r="I1327" s="11"/>
      <c r="J1327" s="11"/>
      <c r="K1327" s="11"/>
      <c r="L1327" s="10" t="s">
        <v>124</v>
      </c>
    </row>
    <row r="1328" spans="1:15" ht="14.4">
      <c r="A1328" s="6" t="s">
        <v>1946</v>
      </c>
      <c r="B1328" s="8">
        <v>2215959649</v>
      </c>
      <c r="C1328" s="6" t="s">
        <v>1947</v>
      </c>
      <c r="H1328" s="9" t="s">
        <v>94</v>
      </c>
      <c r="I1328" s="11"/>
      <c r="J1328" s="11"/>
      <c r="K1328" s="11"/>
      <c r="L1328" s="11"/>
    </row>
    <row r="1329" spans="1:15" ht="14.4">
      <c r="A1329" s="6" t="s">
        <v>1946</v>
      </c>
      <c r="B1329" s="7"/>
      <c r="C1329" s="6"/>
      <c r="H1329" s="9" t="s">
        <v>94</v>
      </c>
      <c r="I1329" s="11"/>
      <c r="J1329" s="11"/>
      <c r="K1329" s="11"/>
      <c r="L1329" s="11"/>
    </row>
    <row r="1330" spans="1:15" ht="14.4">
      <c r="A1330" s="14" t="s">
        <v>1948</v>
      </c>
      <c r="B1330" s="14" t="s">
        <v>1949</v>
      </c>
      <c r="C1330" s="19" t="str">
        <f>HYPERLINK("mailto:paulucido@gmail.com","paulucido@gmail.com")</f>
        <v>paulucido@gmail.com</v>
      </c>
      <c r="D1330" s="13"/>
      <c r="E1330" s="14"/>
      <c r="F1330" s="15">
        <v>40787</v>
      </c>
      <c r="G1330" s="14"/>
      <c r="H1330" s="10"/>
      <c r="I1330" s="10"/>
      <c r="J1330" s="10"/>
      <c r="K1330" s="10"/>
      <c r="L1330" s="10"/>
      <c r="M1330" s="14"/>
      <c r="N1330" s="14"/>
      <c r="O1330" s="14"/>
    </row>
    <row r="1331" spans="1:15" ht="14.4">
      <c r="A1331" s="14" t="s">
        <v>1950</v>
      </c>
      <c r="B1331" s="14"/>
      <c r="C1331" s="19" t="str">
        <f>HYPERLINK("mailto:paulamariaserrano@hotmail.com","paulamariaserrano@hotmail.com")</f>
        <v>paulamariaserrano@hotmail.com</v>
      </c>
      <c r="D1331" s="14"/>
      <c r="E1331" s="15">
        <v>41306</v>
      </c>
      <c r="F1331" s="14"/>
      <c r="G1331" s="14"/>
      <c r="H1331" s="10"/>
      <c r="I1331" s="10"/>
      <c r="J1331" s="10"/>
      <c r="K1331" s="10"/>
      <c r="L1331" s="10"/>
      <c r="M1331" s="14"/>
      <c r="N1331" s="14"/>
      <c r="O1331" s="14"/>
    </row>
    <row r="1332" spans="1:15" ht="14.4">
      <c r="A1332" s="6" t="s">
        <v>1951</v>
      </c>
      <c r="B1332" s="7"/>
      <c r="C1332" s="6" t="s">
        <v>1952</v>
      </c>
      <c r="H1332" s="22"/>
      <c r="I1332" s="11" t="s">
        <v>110</v>
      </c>
      <c r="J1332" s="11"/>
      <c r="K1332" s="11"/>
      <c r="L1332" s="11"/>
    </row>
    <row r="1333" spans="1:15" ht="14.4">
      <c r="A1333" s="6" t="s">
        <v>1951</v>
      </c>
      <c r="B1333" s="7"/>
      <c r="C1333" s="6" t="s">
        <v>1952</v>
      </c>
      <c r="H1333" s="22"/>
      <c r="I1333" s="11"/>
      <c r="J1333" s="35">
        <v>45252</v>
      </c>
      <c r="K1333" s="11"/>
      <c r="L1333" s="11"/>
    </row>
    <row r="1334" spans="1:15" ht="14.4">
      <c r="A1334" s="6" t="s">
        <v>1953</v>
      </c>
      <c r="B1334" s="7"/>
      <c r="C1334" s="6"/>
      <c r="H1334" s="9" t="s">
        <v>50</v>
      </c>
      <c r="I1334" s="11"/>
      <c r="J1334" s="11"/>
      <c r="K1334" s="11"/>
      <c r="L1334" s="11"/>
    </row>
    <row r="1335" spans="1:15" ht="14.4">
      <c r="A1335" s="6" t="s">
        <v>1953</v>
      </c>
      <c r="B1335" s="7"/>
      <c r="C1335" s="6"/>
      <c r="H1335" s="9"/>
      <c r="I1335" s="10" t="s">
        <v>51</v>
      </c>
      <c r="J1335" s="11"/>
      <c r="K1335" s="11"/>
      <c r="L1335" s="11"/>
    </row>
    <row r="1336" spans="1:15" ht="14.4">
      <c r="A1336" s="6" t="s">
        <v>1953</v>
      </c>
      <c r="B1336" s="7"/>
      <c r="C1336" s="6"/>
      <c r="H1336" s="9"/>
      <c r="I1336" s="11"/>
      <c r="J1336" s="41">
        <v>45954</v>
      </c>
      <c r="K1336" s="11"/>
      <c r="L1336" s="11"/>
    </row>
    <row r="1337" spans="1:15" ht="14.4">
      <c r="A1337" s="6" t="s">
        <v>1954</v>
      </c>
      <c r="B1337" s="7"/>
      <c r="C1337" s="7"/>
      <c r="H1337" s="9"/>
      <c r="I1337" s="11"/>
      <c r="J1337" s="10" t="s">
        <v>163</v>
      </c>
      <c r="K1337" s="11"/>
      <c r="L1337" s="11"/>
    </row>
    <row r="1338" spans="1:15" ht="14.4">
      <c r="A1338" s="6" t="s">
        <v>1955</v>
      </c>
      <c r="B1338" s="27">
        <v>1133220151</v>
      </c>
      <c r="C1338" s="18" t="s">
        <v>1956</v>
      </c>
      <c r="H1338" s="9" t="s">
        <v>260</v>
      </c>
      <c r="I1338" s="11"/>
      <c r="J1338" s="11"/>
      <c r="K1338" s="11"/>
      <c r="L1338" s="11"/>
    </row>
    <row r="1339" spans="1:15" ht="14.4">
      <c r="A1339" s="6" t="s">
        <v>1957</v>
      </c>
      <c r="B1339" s="8">
        <v>1165679402</v>
      </c>
      <c r="C1339" s="6" t="s">
        <v>1958</v>
      </c>
      <c r="H1339" s="22"/>
      <c r="I1339" s="11"/>
      <c r="J1339" s="11"/>
      <c r="K1339" s="10" t="s">
        <v>74</v>
      </c>
      <c r="L1339" s="11"/>
    </row>
    <row r="1340" spans="1:15" ht="14.4">
      <c r="A1340" s="14" t="s">
        <v>1959</v>
      </c>
      <c r="B1340" s="14" t="s">
        <v>1960</v>
      </c>
      <c r="C1340" s="19" t="str">
        <f>HYPERLINK("mailto:paulaandrevega@gmail.com","paulaandrevega@gmail.com")</f>
        <v>paulaandrevega@gmail.com</v>
      </c>
      <c r="D1340" s="15">
        <v>41334</v>
      </c>
      <c r="E1340" s="14"/>
      <c r="F1340" s="15">
        <v>41426</v>
      </c>
      <c r="G1340" s="15">
        <v>41760</v>
      </c>
      <c r="H1340" s="30" t="s">
        <v>235</v>
      </c>
      <c r="I1340" s="10"/>
      <c r="J1340" s="10"/>
      <c r="K1340" s="10"/>
      <c r="L1340" s="10"/>
      <c r="M1340" s="14"/>
      <c r="N1340" s="14"/>
      <c r="O1340" s="14"/>
    </row>
    <row r="1341" spans="1:15" ht="14.4">
      <c r="A1341" s="45" t="s">
        <v>1961</v>
      </c>
      <c r="B1341" s="45">
        <v>1522508587</v>
      </c>
      <c r="C1341" s="46" t="str">
        <f>HYPERLINK("mailto:quincedenoviembre@hotmail.com","quincedenoviembre@hotmail.com")</f>
        <v>quincedenoviembre@hotmail.com</v>
      </c>
      <c r="D1341" s="14"/>
      <c r="E1341" s="15">
        <v>41913</v>
      </c>
      <c r="F1341" s="14"/>
      <c r="G1341" s="14"/>
      <c r="H1341" s="10"/>
      <c r="I1341" s="10"/>
      <c r="J1341" s="10"/>
      <c r="K1341" s="10"/>
      <c r="L1341" s="10"/>
      <c r="M1341" s="14"/>
      <c r="N1341" s="14"/>
      <c r="O1341" s="14"/>
    </row>
    <row r="1342" spans="1:15" ht="14.4">
      <c r="A1342" s="14" t="s">
        <v>1962</v>
      </c>
      <c r="B1342" s="13">
        <v>1562325876</v>
      </c>
      <c r="C1342" s="19" t="str">
        <f>HYPERLINK("mailto:pter_fa@hotmail.com","pter_fa@hotmail.com")</f>
        <v>pter_fa@hotmail.com</v>
      </c>
      <c r="D1342" s="15">
        <v>41122</v>
      </c>
      <c r="E1342" s="14"/>
      <c r="F1342" s="14"/>
      <c r="G1342" s="14"/>
      <c r="H1342" s="10"/>
      <c r="I1342" s="10"/>
      <c r="J1342" s="10"/>
      <c r="K1342" s="10"/>
      <c r="L1342" s="10"/>
      <c r="M1342" s="14"/>
      <c r="N1342" s="14"/>
      <c r="O1342" s="14"/>
    </row>
    <row r="1343" spans="1:15" ht="14.4">
      <c r="A1343" s="14" t="s">
        <v>1963</v>
      </c>
      <c r="B1343" s="14" t="s">
        <v>1964</v>
      </c>
      <c r="C1343" s="19" t="str">
        <f>HYPERLINK("mailto:petra_kezman@yahoo.com","petra_kezman@yahoo.com")</f>
        <v>petra_kezman@yahoo.com</v>
      </c>
      <c r="D1343" s="14"/>
      <c r="E1343" s="14"/>
      <c r="F1343" s="15">
        <v>41365</v>
      </c>
      <c r="G1343" s="14"/>
      <c r="H1343" s="10"/>
      <c r="I1343" s="10"/>
      <c r="J1343" s="10"/>
      <c r="K1343" s="10"/>
      <c r="L1343" s="10"/>
      <c r="M1343" s="14"/>
      <c r="N1343" s="14"/>
      <c r="O1343" s="14"/>
    </row>
    <row r="1344" spans="1:15" ht="14.4">
      <c r="A1344" s="14" t="s">
        <v>1965</v>
      </c>
      <c r="B1344" s="14"/>
      <c r="C1344" s="84" t="s">
        <v>1966</v>
      </c>
      <c r="D1344" s="14"/>
      <c r="E1344" s="14"/>
      <c r="F1344" s="14"/>
      <c r="G1344" s="14"/>
      <c r="H1344" s="10"/>
      <c r="I1344" s="10"/>
      <c r="J1344" s="10"/>
      <c r="K1344" s="10"/>
      <c r="L1344" s="10"/>
      <c r="M1344" s="14"/>
      <c r="N1344" s="14"/>
      <c r="O1344" s="14"/>
    </row>
    <row r="1345" spans="1:15" ht="14.4">
      <c r="A1345" s="14" t="s">
        <v>1967</v>
      </c>
      <c r="B1345" s="14" t="s">
        <v>1513</v>
      </c>
      <c r="C1345" s="14" t="s">
        <v>1968</v>
      </c>
      <c r="D1345" s="14"/>
      <c r="E1345" s="14"/>
      <c r="F1345" s="15">
        <v>41913</v>
      </c>
      <c r="G1345" s="14"/>
      <c r="H1345" s="10"/>
      <c r="I1345" s="10"/>
      <c r="J1345" s="10"/>
      <c r="K1345" s="10"/>
      <c r="L1345" s="10"/>
      <c r="M1345" s="14"/>
      <c r="N1345" s="14"/>
      <c r="O1345" s="14"/>
    </row>
    <row r="1346" spans="1:15" ht="14.4">
      <c r="A1346" s="6" t="s">
        <v>1969</v>
      </c>
      <c r="B1346" s="10" t="s">
        <v>1970</v>
      </c>
      <c r="C1346" s="10" t="s">
        <v>1971</v>
      </c>
      <c r="H1346" s="22"/>
      <c r="I1346" s="11"/>
      <c r="J1346" s="11"/>
      <c r="K1346" s="10" t="s">
        <v>212</v>
      </c>
      <c r="L1346" s="10"/>
    </row>
    <row r="1347" spans="1:15" ht="14.4">
      <c r="A1347" s="14" t="s">
        <v>1972</v>
      </c>
      <c r="B1347" s="14" t="s">
        <v>1973</v>
      </c>
      <c r="C1347" s="19" t="str">
        <f>HYPERLINK("mailto:picu_n@hotmail.com","picu_n@hotmail.com")</f>
        <v>picu_n@hotmail.com</v>
      </c>
      <c r="D1347" s="15">
        <v>41091</v>
      </c>
      <c r="E1347" s="14"/>
      <c r="F1347" s="14"/>
      <c r="G1347" s="14"/>
      <c r="H1347" s="10"/>
      <c r="I1347" s="10"/>
      <c r="J1347" s="10"/>
      <c r="K1347" s="10"/>
      <c r="L1347" s="10"/>
      <c r="M1347" s="14"/>
      <c r="N1347" s="14"/>
      <c r="O1347" s="14"/>
    </row>
    <row r="1348" spans="1:15" ht="14.4">
      <c r="A1348" s="7" t="s">
        <v>1974</v>
      </c>
      <c r="B1348" s="7" t="s">
        <v>1975</v>
      </c>
      <c r="C1348" s="109" t="s">
        <v>1976</v>
      </c>
      <c r="H1348" s="66">
        <v>43238</v>
      </c>
      <c r="I1348" s="11"/>
      <c r="J1348" s="11"/>
      <c r="K1348" s="11"/>
      <c r="L1348" s="11"/>
    </row>
    <row r="1349" spans="1:15" ht="14.4">
      <c r="A1349" s="6" t="s">
        <v>1977</v>
      </c>
      <c r="B1349" s="7"/>
      <c r="C1349" s="7"/>
      <c r="H1349" s="9" t="s">
        <v>65</v>
      </c>
      <c r="I1349" s="11"/>
      <c r="J1349" s="11"/>
      <c r="K1349" s="11"/>
      <c r="L1349" s="11"/>
    </row>
    <row r="1350" spans="1:15" ht="14.4">
      <c r="A1350" s="25" t="s">
        <v>1978</v>
      </c>
      <c r="B1350" s="32"/>
      <c r="C1350" s="26" t="s">
        <v>1979</v>
      </c>
      <c r="D1350" s="14"/>
      <c r="E1350" s="14"/>
      <c r="F1350" s="14"/>
      <c r="G1350" s="6"/>
      <c r="H1350" s="23" t="s">
        <v>934</v>
      </c>
      <c r="I1350" s="10"/>
      <c r="J1350" s="10"/>
      <c r="K1350" s="10"/>
      <c r="L1350" s="10"/>
    </row>
    <row r="1351" spans="1:15" ht="14.4">
      <c r="A1351" s="6" t="s">
        <v>1980</v>
      </c>
      <c r="B1351" s="8">
        <v>1149891852</v>
      </c>
      <c r="C1351" s="6" t="s">
        <v>1981</v>
      </c>
      <c r="H1351" s="57" t="s">
        <v>294</v>
      </c>
      <c r="I1351" s="11"/>
      <c r="J1351" s="11"/>
      <c r="K1351" s="11"/>
      <c r="L1351" s="11"/>
    </row>
    <row r="1352" spans="1:15" ht="14.4">
      <c r="A1352" s="6" t="s">
        <v>1980</v>
      </c>
      <c r="B1352" s="8">
        <v>1149891852</v>
      </c>
      <c r="C1352" s="6" t="s">
        <v>1981</v>
      </c>
      <c r="H1352" s="22"/>
      <c r="I1352" s="43" t="s">
        <v>295</v>
      </c>
      <c r="J1352" s="11"/>
      <c r="K1352" s="11"/>
      <c r="L1352" s="11"/>
    </row>
    <row r="1353" spans="1:15" ht="14.4">
      <c r="A1353" s="6" t="s">
        <v>1982</v>
      </c>
      <c r="B1353" s="30">
        <v>2914318310</v>
      </c>
      <c r="C1353" s="10" t="s">
        <v>1983</v>
      </c>
      <c r="H1353" s="22" t="s">
        <v>275</v>
      </c>
      <c r="I1353" s="11"/>
      <c r="J1353" s="11"/>
      <c r="K1353" s="11"/>
      <c r="L1353" s="11"/>
    </row>
    <row r="1354" spans="1:15" ht="14.4">
      <c r="A1354" s="6" t="s">
        <v>1982</v>
      </c>
      <c r="B1354" s="30">
        <v>2914318310</v>
      </c>
      <c r="C1354" s="9" t="s">
        <v>1983</v>
      </c>
      <c r="H1354" s="53" t="s">
        <v>730</v>
      </c>
      <c r="I1354" s="11"/>
      <c r="J1354" s="11"/>
      <c r="K1354" s="11"/>
      <c r="L1354" s="11"/>
    </row>
    <row r="1355" spans="1:15" ht="14.4">
      <c r="A1355" s="14" t="s">
        <v>1984</v>
      </c>
      <c r="B1355" s="14" t="s">
        <v>1985</v>
      </c>
      <c r="C1355" s="14" t="s">
        <v>1986</v>
      </c>
      <c r="D1355" s="15">
        <v>41061</v>
      </c>
      <c r="E1355" s="14"/>
      <c r="F1355" s="15">
        <v>41153</v>
      </c>
      <c r="G1355" s="14"/>
      <c r="H1355" s="10"/>
      <c r="I1355" s="10"/>
      <c r="J1355" s="10"/>
      <c r="K1355" s="10"/>
      <c r="L1355" s="10"/>
      <c r="M1355" s="14"/>
      <c r="N1355" s="14"/>
      <c r="O1355" s="14"/>
    </row>
    <row r="1356" spans="1:15" ht="14.4">
      <c r="A1356" s="6" t="s">
        <v>1987</v>
      </c>
      <c r="B1356" s="7"/>
      <c r="C1356" s="6" t="s">
        <v>1988</v>
      </c>
      <c r="H1356" s="9"/>
      <c r="I1356" s="11"/>
      <c r="J1356" s="11"/>
      <c r="K1356" s="17" t="s">
        <v>68</v>
      </c>
      <c r="L1356" s="11"/>
    </row>
    <row r="1357" spans="1:15" ht="14.4">
      <c r="A1357" s="45" t="s">
        <v>1989</v>
      </c>
      <c r="B1357" s="45">
        <v>1564963492</v>
      </c>
      <c r="C1357" s="45"/>
      <c r="D1357" s="14"/>
      <c r="E1357" s="15">
        <v>41913</v>
      </c>
      <c r="F1357" s="14"/>
      <c r="G1357" s="14"/>
      <c r="H1357" s="10"/>
      <c r="I1357" s="10"/>
      <c r="J1357" s="10"/>
      <c r="K1357" s="10"/>
      <c r="L1357" s="10"/>
      <c r="M1357" s="14"/>
      <c r="N1357" s="14"/>
      <c r="O1357" s="14"/>
    </row>
    <row r="1358" spans="1:15" ht="14.4">
      <c r="A1358" s="13" t="s">
        <v>1990</v>
      </c>
      <c r="B1358" s="13">
        <v>1538528523</v>
      </c>
      <c r="C1358" s="17" t="s">
        <v>1991</v>
      </c>
      <c r="D1358" s="14"/>
      <c r="E1358" s="14"/>
      <c r="F1358" s="14"/>
      <c r="G1358" s="14"/>
      <c r="H1358" s="10"/>
      <c r="I1358" s="10"/>
      <c r="J1358" s="10"/>
      <c r="K1358" s="10"/>
      <c r="L1358" s="10"/>
      <c r="M1358" s="14"/>
      <c r="N1358" s="14"/>
      <c r="O1358" s="15">
        <v>42856</v>
      </c>
    </row>
    <row r="1359" spans="1:15" ht="14.4">
      <c r="A1359" s="6" t="s">
        <v>1992</v>
      </c>
      <c r="B1359" s="7"/>
      <c r="C1359" s="7"/>
      <c r="H1359" s="9" t="s">
        <v>75</v>
      </c>
      <c r="I1359" s="11"/>
      <c r="J1359" s="11"/>
      <c r="K1359" s="11"/>
      <c r="L1359" s="11"/>
    </row>
    <row r="1360" spans="1:15" ht="14.4">
      <c r="A1360" s="6" t="s">
        <v>1993</v>
      </c>
      <c r="B1360" s="27">
        <v>1165905656</v>
      </c>
      <c r="C1360" s="18" t="s">
        <v>1994</v>
      </c>
      <c r="D1360" s="14"/>
      <c r="E1360" s="14"/>
      <c r="F1360" s="14"/>
      <c r="G1360" s="6"/>
      <c r="H1360" s="30" t="s">
        <v>235</v>
      </c>
      <c r="I1360" s="23" t="s">
        <v>236</v>
      </c>
      <c r="J1360" s="11"/>
      <c r="K1360" s="11"/>
      <c r="L1360" s="11"/>
    </row>
    <row r="1361" spans="1:17" ht="14.4">
      <c r="A1361" s="6" t="s">
        <v>1993</v>
      </c>
      <c r="B1361" s="32"/>
      <c r="C1361" s="7"/>
      <c r="H1361" s="9" t="s">
        <v>260</v>
      </c>
      <c r="I1361" s="11"/>
      <c r="J1361" s="11"/>
      <c r="K1361" s="11"/>
      <c r="L1361" s="11"/>
    </row>
    <row r="1362" spans="1:17" ht="14.4">
      <c r="A1362" s="14" t="s">
        <v>1995</v>
      </c>
      <c r="B1362" s="14"/>
      <c r="C1362" s="14" t="s">
        <v>1996</v>
      </c>
      <c r="D1362" s="14"/>
      <c r="E1362" s="15">
        <v>41640</v>
      </c>
      <c r="F1362" s="14"/>
      <c r="G1362" s="14"/>
      <c r="H1362" s="10"/>
      <c r="I1362" s="10"/>
      <c r="J1362" s="10"/>
      <c r="K1362" s="10"/>
      <c r="L1362" s="10"/>
      <c r="M1362" s="14"/>
      <c r="N1362" s="14"/>
      <c r="O1362" s="14"/>
    </row>
    <row r="1363" spans="1:17" ht="14.4">
      <c r="A1363" s="9" t="s">
        <v>1997</v>
      </c>
      <c r="B1363" s="7"/>
      <c r="C1363" s="7"/>
      <c r="H1363" s="9" t="s">
        <v>82</v>
      </c>
      <c r="I1363" s="11"/>
      <c r="J1363" s="11"/>
      <c r="K1363" s="11"/>
      <c r="L1363" s="11"/>
    </row>
    <row r="1364" spans="1:17" ht="14.4">
      <c r="A1364" s="13" t="s">
        <v>1998</v>
      </c>
      <c r="B1364" s="13">
        <v>1540630068</v>
      </c>
      <c r="C1364" s="46" t="str">
        <f>HYPERLINK("mailto:arqbravi.roberta@gmail.com","arqbravi.roberta@gmail.com")</f>
        <v>arqbravi.roberta@gmail.com</v>
      </c>
      <c r="D1364" s="15">
        <v>41944</v>
      </c>
      <c r="E1364" s="14"/>
      <c r="F1364" s="14"/>
      <c r="G1364" s="14"/>
      <c r="H1364" s="10"/>
      <c r="I1364" s="10"/>
      <c r="J1364" s="10"/>
      <c r="K1364" s="10"/>
      <c r="L1364" s="10"/>
      <c r="M1364" s="14"/>
      <c r="N1364" s="14"/>
      <c r="O1364" s="14"/>
    </row>
    <row r="1365" spans="1:17" ht="14.4">
      <c r="A1365" s="6" t="s">
        <v>1999</v>
      </c>
      <c r="B1365" s="7"/>
      <c r="C1365" s="7"/>
      <c r="H1365" s="9" t="s">
        <v>23</v>
      </c>
      <c r="I1365" s="11"/>
      <c r="J1365" s="11"/>
      <c r="K1365" s="11"/>
      <c r="L1365" s="11"/>
    </row>
    <row r="1366" spans="1:17" ht="14.4">
      <c r="A1366" s="9" t="s">
        <v>1999</v>
      </c>
      <c r="B1366" s="7"/>
      <c r="C1366" s="7"/>
      <c r="H1366" s="9"/>
      <c r="I1366" s="11" t="s">
        <v>24</v>
      </c>
      <c r="J1366" s="11"/>
      <c r="K1366" s="11"/>
      <c r="L1366" s="11"/>
    </row>
    <row r="1367" spans="1:17" ht="14.4">
      <c r="A1367" s="6" t="s">
        <v>1999</v>
      </c>
      <c r="B1367" s="7"/>
      <c r="C1367" s="7"/>
      <c r="H1367" s="9"/>
      <c r="I1367" s="11"/>
      <c r="J1367" s="11"/>
      <c r="K1367" s="11" t="s">
        <v>24</v>
      </c>
      <c r="L1367" s="11"/>
    </row>
    <row r="1368" spans="1:17" ht="14.4">
      <c r="A1368" s="14" t="s">
        <v>2000</v>
      </c>
      <c r="B1368" s="14" t="s">
        <v>2001</v>
      </c>
      <c r="C1368" s="19" t="str">
        <f>HYPERLINK("mailto:sidkiller@gmail.com","sidkiller@gmail.com")</f>
        <v>sidkiller@gmail.com</v>
      </c>
      <c r="D1368" s="15">
        <v>40664</v>
      </c>
      <c r="E1368" s="14"/>
      <c r="F1368" s="15">
        <v>40756</v>
      </c>
      <c r="G1368" s="14"/>
      <c r="H1368" s="10"/>
      <c r="I1368" s="10"/>
      <c r="J1368" s="10"/>
      <c r="K1368" s="10"/>
      <c r="L1368" s="10"/>
      <c r="M1368" s="14"/>
      <c r="N1368" s="14"/>
      <c r="O1368" s="14"/>
    </row>
    <row r="1369" spans="1:17" ht="14.4">
      <c r="A1369" s="9" t="s">
        <v>2002</v>
      </c>
      <c r="B1369" s="29">
        <v>1143992373</v>
      </c>
      <c r="C1369" s="9" t="s">
        <v>2003</v>
      </c>
      <c r="H1369" s="53" t="s">
        <v>220</v>
      </c>
      <c r="I1369" s="11"/>
      <c r="J1369" s="11"/>
      <c r="K1369" s="11"/>
      <c r="L1369" s="11"/>
    </row>
    <row r="1370" spans="1:17" ht="14.4">
      <c r="A1370" s="6" t="s">
        <v>2002</v>
      </c>
      <c r="B1370" s="7"/>
      <c r="C1370" s="6"/>
      <c r="H1370" s="9"/>
      <c r="I1370" s="11"/>
      <c r="J1370" s="11"/>
      <c r="K1370" s="11"/>
      <c r="L1370" s="11"/>
      <c r="Q1370" s="16">
        <v>45985</v>
      </c>
    </row>
    <row r="1371" spans="1:17" ht="14.4">
      <c r="A1371" s="6" t="s">
        <v>2004</v>
      </c>
      <c r="B1371" s="7"/>
      <c r="C1371" s="6"/>
      <c r="H1371" s="9" t="s">
        <v>49</v>
      </c>
      <c r="I1371" s="10" t="s">
        <v>50</v>
      </c>
      <c r="J1371" s="11"/>
      <c r="K1371" s="11"/>
      <c r="L1371" s="11"/>
    </row>
    <row r="1372" spans="1:17" ht="14.4">
      <c r="A1372" s="6" t="s">
        <v>2004</v>
      </c>
      <c r="B1372" s="7"/>
      <c r="C1372" s="6"/>
      <c r="H1372" s="9"/>
      <c r="I1372" s="11"/>
      <c r="J1372" s="10" t="s">
        <v>51</v>
      </c>
      <c r="K1372" s="11"/>
      <c r="L1372" s="11"/>
    </row>
    <row r="1373" spans="1:17" ht="14.4">
      <c r="A1373" s="13" t="s">
        <v>2005</v>
      </c>
      <c r="B1373" s="13">
        <v>1536877111</v>
      </c>
      <c r="C1373" s="13" t="s">
        <v>2006</v>
      </c>
      <c r="D1373" s="14"/>
      <c r="E1373" s="15">
        <v>41821</v>
      </c>
      <c r="F1373" s="14"/>
      <c r="G1373" s="14"/>
      <c r="H1373" s="10"/>
      <c r="I1373" s="10"/>
      <c r="J1373" s="10"/>
      <c r="K1373" s="10"/>
      <c r="L1373" s="10"/>
      <c r="M1373" s="14"/>
      <c r="N1373" s="14"/>
      <c r="O1373" s="14"/>
    </row>
    <row r="1374" spans="1:17" ht="14.4">
      <c r="A1374" s="25" t="s">
        <v>2007</v>
      </c>
      <c r="B1374" s="26">
        <v>1533610303</v>
      </c>
      <c r="C1374" s="25" t="s">
        <v>2008</v>
      </c>
      <c r="D1374" s="14" t="s">
        <v>90</v>
      </c>
      <c r="H1374" s="22"/>
      <c r="I1374" s="11"/>
      <c r="J1374" s="11"/>
      <c r="K1374" s="11"/>
      <c r="L1374" s="11"/>
    </row>
    <row r="1375" spans="1:17" ht="14.4">
      <c r="A1375" s="14" t="s">
        <v>2009</v>
      </c>
      <c r="B1375" s="14"/>
      <c r="C1375" s="19" t="str">
        <f>HYPERLINK("mailto:rociocuenca@fibertel.com.ar","rociocuenca@fibertel.com.ar")</f>
        <v>rociocuenca@fibertel.com.ar</v>
      </c>
      <c r="D1375" s="14"/>
      <c r="E1375" s="15">
        <v>41306</v>
      </c>
      <c r="F1375" s="14"/>
      <c r="G1375" s="14"/>
      <c r="H1375" s="10"/>
      <c r="I1375" s="10"/>
      <c r="J1375" s="10"/>
      <c r="K1375" s="10"/>
      <c r="L1375" s="10"/>
      <c r="M1375" s="14"/>
      <c r="N1375" s="14"/>
      <c r="O1375" s="14"/>
    </row>
    <row r="1376" spans="1:17" ht="14.4">
      <c r="A1376" s="6" t="s">
        <v>2010</v>
      </c>
      <c r="B1376" s="7"/>
      <c r="C1376" s="7"/>
      <c r="H1376" s="9" t="s">
        <v>65</v>
      </c>
      <c r="I1376" s="11"/>
      <c r="J1376" s="11"/>
      <c r="K1376" s="11"/>
      <c r="L1376" s="11"/>
    </row>
    <row r="1377" spans="1:17" ht="14.4">
      <c r="A1377" s="14" t="s">
        <v>2011</v>
      </c>
      <c r="B1377" s="14"/>
      <c r="C1377" s="19" t="str">
        <f>HYPERLINK("mailto:rociovaleriacollado@hotmail.com","rociovaleriacollado@hotmail.com")</f>
        <v>rociovaleriacollado@hotmail.com</v>
      </c>
      <c r="D1377" s="14"/>
      <c r="E1377" s="15">
        <v>41426</v>
      </c>
      <c r="F1377" s="14"/>
      <c r="G1377" s="14"/>
      <c r="H1377" s="10"/>
      <c r="I1377" s="10"/>
      <c r="J1377" s="10"/>
      <c r="K1377" s="10"/>
      <c r="L1377" s="10"/>
      <c r="M1377" s="14"/>
      <c r="N1377" s="14"/>
      <c r="O1377" s="14"/>
    </row>
    <row r="1378" spans="1:17" ht="14.4">
      <c r="A1378" s="6" t="s">
        <v>2012</v>
      </c>
      <c r="B1378" s="7"/>
      <c r="C1378" s="6"/>
      <c r="H1378" s="9" t="s">
        <v>51</v>
      </c>
      <c r="I1378" s="11"/>
      <c r="J1378" s="11"/>
      <c r="K1378" s="11"/>
      <c r="L1378" s="11"/>
    </row>
    <row r="1379" spans="1:17" ht="14.4">
      <c r="A1379" s="9" t="s">
        <v>2012</v>
      </c>
      <c r="B1379" s="7"/>
      <c r="C1379" s="6"/>
      <c r="H1379" s="9"/>
      <c r="I1379" s="41">
        <v>45954</v>
      </c>
      <c r="J1379" s="11"/>
      <c r="K1379" s="11"/>
      <c r="L1379" s="11"/>
    </row>
    <row r="1380" spans="1:17" ht="14.4">
      <c r="A1380" s="9" t="s">
        <v>2012</v>
      </c>
      <c r="B1380" s="7"/>
      <c r="C1380" s="6"/>
      <c r="H1380" s="9"/>
      <c r="I1380" s="11"/>
      <c r="J1380" s="41">
        <v>45985</v>
      </c>
      <c r="K1380" s="11"/>
      <c r="L1380" s="11"/>
    </row>
    <row r="1381" spans="1:17" ht="14.4">
      <c r="A1381" s="14" t="s">
        <v>2013</v>
      </c>
      <c r="B1381" s="13" t="s">
        <v>2014</v>
      </c>
      <c r="C1381" s="14" t="s">
        <v>2015</v>
      </c>
      <c r="D1381" s="14"/>
      <c r="E1381" s="14"/>
      <c r="F1381" s="14"/>
      <c r="G1381" s="14"/>
      <c r="H1381" s="10"/>
      <c r="I1381" s="10"/>
      <c r="J1381" s="10" t="s">
        <v>56</v>
      </c>
      <c r="K1381" s="10"/>
      <c r="L1381" s="10"/>
      <c r="M1381" s="15">
        <v>42064</v>
      </c>
      <c r="N1381" s="14"/>
      <c r="O1381" s="14"/>
    </row>
    <row r="1382" spans="1:17" ht="14.4">
      <c r="A1382" s="14" t="s">
        <v>2016</v>
      </c>
      <c r="B1382" s="13">
        <v>1560300523</v>
      </c>
      <c r="C1382" s="19" t="str">
        <f>HYPERLINK("mailto:rtrastatter@gmail.com","rtrastatter@gmail.com")</f>
        <v>rtrastatter@gmail.com</v>
      </c>
      <c r="D1382" s="15">
        <v>41395</v>
      </c>
      <c r="E1382" s="14"/>
      <c r="F1382" s="15">
        <v>41487</v>
      </c>
      <c r="G1382" s="14"/>
      <c r="H1382" s="20">
        <v>41944</v>
      </c>
      <c r="I1382" s="10"/>
      <c r="J1382" s="10"/>
      <c r="K1382" s="10"/>
      <c r="L1382" s="10"/>
      <c r="M1382" s="14"/>
      <c r="N1382" s="14"/>
      <c r="O1382" s="14"/>
    </row>
    <row r="1383" spans="1:17" ht="14.4">
      <c r="A1383" s="10" t="s">
        <v>2017</v>
      </c>
      <c r="B1383" s="13">
        <v>1544494119</v>
      </c>
      <c r="C1383" s="13" t="s">
        <v>2018</v>
      </c>
      <c r="D1383" s="14"/>
      <c r="E1383" s="14"/>
      <c r="F1383" s="14"/>
      <c r="G1383" s="14"/>
      <c r="H1383" s="10"/>
      <c r="I1383" s="10"/>
      <c r="J1383" s="10"/>
      <c r="K1383" s="10"/>
      <c r="L1383" s="10"/>
      <c r="M1383" s="14"/>
      <c r="N1383" s="14"/>
      <c r="O1383" s="15">
        <v>42856</v>
      </c>
    </row>
    <row r="1384" spans="1:17" ht="14.4">
      <c r="A1384" s="14" t="s">
        <v>2019</v>
      </c>
      <c r="B1384" s="14" t="s">
        <v>2020</v>
      </c>
      <c r="C1384" s="19" t="str">
        <f>HYPERLINK("mailto:rodrigo-berrios@hotmail.com","rodrigo-berrios@hotmail.com")</f>
        <v>rodrigo-berrios@hotmail.com</v>
      </c>
      <c r="D1384" s="15">
        <v>40664</v>
      </c>
      <c r="E1384" s="14"/>
      <c r="F1384" s="15">
        <v>40756</v>
      </c>
      <c r="G1384" s="14"/>
      <c r="H1384" s="10"/>
      <c r="I1384" s="10"/>
      <c r="J1384" s="10"/>
      <c r="K1384" s="10"/>
      <c r="L1384" s="10"/>
      <c r="M1384" s="14"/>
      <c r="N1384" s="14"/>
      <c r="O1384" s="14"/>
    </row>
    <row r="1385" spans="1:17" ht="14.4">
      <c r="A1385" s="6" t="s">
        <v>2021</v>
      </c>
      <c r="B1385" s="8">
        <v>3624769647</v>
      </c>
      <c r="C1385" s="6" t="s">
        <v>2022</v>
      </c>
      <c r="H1385" s="57" t="s">
        <v>294</v>
      </c>
      <c r="I1385" s="11"/>
      <c r="J1385" s="11"/>
      <c r="K1385" s="11"/>
      <c r="L1385" s="11"/>
    </row>
    <row r="1386" spans="1:17" ht="14.4">
      <c r="A1386" s="6" t="s">
        <v>2023</v>
      </c>
      <c r="B1386" s="7"/>
      <c r="C1386" s="6"/>
      <c r="H1386" s="9"/>
      <c r="I1386" s="11"/>
      <c r="J1386" s="11"/>
      <c r="K1386" s="11"/>
      <c r="L1386" s="11"/>
      <c r="P1386" s="7" t="s">
        <v>49</v>
      </c>
    </row>
    <row r="1387" spans="1:17" ht="14.4">
      <c r="A1387" s="6" t="s">
        <v>2024</v>
      </c>
      <c r="B1387" s="7"/>
      <c r="C1387" s="7"/>
      <c r="H1387" s="9"/>
      <c r="I1387" s="11"/>
      <c r="J1387" s="11"/>
      <c r="K1387" s="11"/>
      <c r="L1387" s="11"/>
      <c r="Q1387" s="16">
        <v>45713</v>
      </c>
    </row>
    <row r="1388" spans="1:17" ht="14.4">
      <c r="A1388" s="14" t="s">
        <v>2025</v>
      </c>
      <c r="B1388" s="10" t="s">
        <v>2026</v>
      </c>
      <c r="C1388" s="10" t="s">
        <v>2027</v>
      </c>
      <c r="D1388" s="39">
        <v>43391</v>
      </c>
      <c r="E1388" s="14"/>
      <c r="F1388" s="14"/>
      <c r="G1388" s="14"/>
      <c r="H1388" s="10"/>
      <c r="I1388" s="11"/>
      <c r="J1388" s="11"/>
      <c r="K1388" s="11"/>
      <c r="L1388" s="11"/>
    </row>
    <row r="1389" spans="1:17" ht="14.4">
      <c r="A1389" s="13" t="s">
        <v>2028</v>
      </c>
      <c r="B1389" s="13"/>
      <c r="C1389" s="46" t="str">
        <f>HYPERLINK("mailto:romi_ush@yahoo.com.ar","romi_ush@yahoo.com.ar")</f>
        <v>romi_ush@yahoo.com.ar</v>
      </c>
      <c r="D1389" s="14"/>
      <c r="E1389" s="15">
        <v>41821</v>
      </c>
      <c r="F1389" s="14"/>
      <c r="G1389" s="14"/>
      <c r="H1389" s="10"/>
      <c r="I1389" s="10"/>
      <c r="J1389" s="10"/>
      <c r="K1389" s="10"/>
      <c r="L1389" s="10"/>
      <c r="M1389" s="14"/>
      <c r="N1389" s="14"/>
      <c r="O1389" s="14"/>
    </row>
    <row r="1390" spans="1:17" ht="14.4">
      <c r="A1390" s="14" t="s">
        <v>2029</v>
      </c>
      <c r="B1390" s="14" t="s">
        <v>2030</v>
      </c>
      <c r="C1390" s="14" t="s">
        <v>2031</v>
      </c>
      <c r="D1390" s="15">
        <v>40817</v>
      </c>
      <c r="E1390" s="14"/>
      <c r="F1390" s="14"/>
      <c r="G1390" s="14"/>
      <c r="H1390" s="10"/>
      <c r="I1390" s="10"/>
      <c r="J1390" s="10"/>
      <c r="K1390" s="10"/>
      <c r="L1390" s="10"/>
      <c r="M1390" s="14"/>
      <c r="N1390" s="14"/>
      <c r="O1390" s="14"/>
    </row>
    <row r="1391" spans="1:17" ht="14.4">
      <c r="A1391" s="6" t="s">
        <v>2032</v>
      </c>
      <c r="B1391" s="7"/>
      <c r="C1391" s="6"/>
      <c r="H1391" s="9" t="s">
        <v>30</v>
      </c>
      <c r="I1391" s="11"/>
      <c r="J1391" s="11"/>
      <c r="K1391" s="11"/>
      <c r="L1391" s="11"/>
    </row>
    <row r="1392" spans="1:17" ht="14.4">
      <c r="A1392" s="6" t="s">
        <v>2033</v>
      </c>
      <c r="B1392" s="7"/>
      <c r="C1392" s="7"/>
      <c r="H1392" s="9" t="s">
        <v>82</v>
      </c>
      <c r="I1392" s="11"/>
      <c r="J1392" s="11"/>
      <c r="K1392" s="11"/>
      <c r="L1392" s="11"/>
    </row>
    <row r="1393" spans="1:15" ht="14.4">
      <c r="A1393" s="9" t="s">
        <v>2033</v>
      </c>
      <c r="B1393" s="7"/>
      <c r="C1393" s="7"/>
      <c r="H1393" s="9"/>
      <c r="I1393" s="35">
        <v>45713</v>
      </c>
      <c r="J1393" s="11"/>
      <c r="K1393" s="11"/>
      <c r="L1393" s="11"/>
    </row>
    <row r="1394" spans="1:15" ht="14.4">
      <c r="A1394" s="14" t="s">
        <v>2034</v>
      </c>
      <c r="B1394" s="17">
        <v>2614661322</v>
      </c>
      <c r="C1394" s="10" t="s">
        <v>2035</v>
      </c>
      <c r="D1394" s="14"/>
      <c r="E1394" s="14"/>
      <c r="F1394" s="14"/>
      <c r="G1394" s="6"/>
      <c r="H1394" s="30" t="s">
        <v>71</v>
      </c>
      <c r="I1394" s="10"/>
      <c r="J1394" s="11"/>
      <c r="K1394" s="11"/>
      <c r="L1394" s="11"/>
    </row>
    <row r="1395" spans="1:15" ht="14.4">
      <c r="A1395" s="14" t="s">
        <v>2036</v>
      </c>
      <c r="B1395" s="14" t="s">
        <v>2037</v>
      </c>
      <c r="C1395" s="14" t="s">
        <v>2038</v>
      </c>
      <c r="D1395" s="14"/>
      <c r="E1395" s="14"/>
      <c r="F1395" s="15">
        <v>41000</v>
      </c>
      <c r="G1395" s="14"/>
      <c r="H1395" s="10"/>
      <c r="I1395" s="10"/>
      <c r="J1395" s="10"/>
      <c r="K1395" s="10"/>
      <c r="L1395" s="10"/>
      <c r="M1395" s="14"/>
      <c r="N1395" s="14"/>
      <c r="O1395" s="14"/>
    </row>
    <row r="1396" spans="1:15" ht="14.4">
      <c r="A1396" s="13" t="s">
        <v>2039</v>
      </c>
      <c r="B1396" s="13">
        <v>1568775593</v>
      </c>
      <c r="C1396" s="13" t="s">
        <v>2040</v>
      </c>
      <c r="D1396" s="14"/>
      <c r="E1396" s="15">
        <v>42005</v>
      </c>
      <c r="F1396" s="14"/>
      <c r="G1396" s="14"/>
      <c r="H1396" s="10"/>
      <c r="I1396" s="10"/>
      <c r="J1396" s="10"/>
      <c r="K1396" s="10"/>
      <c r="L1396" s="10"/>
      <c r="M1396" s="14"/>
      <c r="N1396" s="14"/>
      <c r="O1396" s="14"/>
    </row>
    <row r="1397" spans="1:15" ht="14.4">
      <c r="A1397" s="6" t="s">
        <v>2041</v>
      </c>
      <c r="B1397" s="7"/>
      <c r="C1397" s="6" t="s">
        <v>2042</v>
      </c>
      <c r="H1397" s="42">
        <v>45222</v>
      </c>
      <c r="I1397" s="11"/>
      <c r="J1397" s="11"/>
      <c r="K1397" s="11"/>
      <c r="L1397" s="11"/>
    </row>
    <row r="1398" spans="1:15" ht="14.4">
      <c r="A1398" s="61" t="s">
        <v>2041</v>
      </c>
      <c r="B1398" s="7"/>
      <c r="C1398" s="6" t="s">
        <v>2042</v>
      </c>
      <c r="H1398" s="9"/>
      <c r="I1398" s="41">
        <v>45253</v>
      </c>
      <c r="J1398" s="11"/>
      <c r="K1398" s="11"/>
      <c r="L1398" s="11"/>
    </row>
    <row r="1399" spans="1:15" ht="14.4">
      <c r="A1399" s="13" t="s">
        <v>2043</v>
      </c>
      <c r="B1399" s="13" t="s">
        <v>2044</v>
      </c>
      <c r="C1399" s="110" t="str">
        <f>HYPERLINK("mailto:rosanafar@yahoo.com.ar","rosanafar@yahoo.com.ar")</f>
        <v>rosanafar@yahoo.com.ar</v>
      </c>
      <c r="D1399" s="14"/>
      <c r="E1399" s="15">
        <v>42248</v>
      </c>
      <c r="F1399" s="14"/>
      <c r="G1399" s="14"/>
      <c r="H1399" s="10"/>
      <c r="I1399" s="10"/>
      <c r="J1399" s="10"/>
      <c r="K1399" s="10"/>
      <c r="L1399" s="10"/>
      <c r="M1399" s="14"/>
      <c r="N1399" s="14"/>
      <c r="O1399" s="14"/>
    </row>
    <row r="1400" spans="1:15" ht="14.4">
      <c r="A1400" s="14" t="s">
        <v>2045</v>
      </c>
      <c r="B1400" s="13">
        <v>1557133174</v>
      </c>
      <c r="C1400" s="14" t="s">
        <v>2046</v>
      </c>
      <c r="D1400" s="14"/>
      <c r="E1400" s="14"/>
      <c r="F1400" s="14"/>
      <c r="G1400" s="14"/>
      <c r="H1400" s="10"/>
      <c r="I1400" s="10"/>
      <c r="J1400" s="10"/>
      <c r="K1400" s="10"/>
      <c r="L1400" s="10"/>
      <c r="M1400" s="15">
        <v>42125</v>
      </c>
      <c r="N1400" s="14"/>
      <c r="O1400" s="14"/>
    </row>
    <row r="1401" spans="1:15" ht="14.4">
      <c r="A1401" s="6" t="s">
        <v>2047</v>
      </c>
      <c r="B1401" s="7"/>
      <c r="C1401" s="6"/>
      <c r="H1401" s="9" t="s">
        <v>30</v>
      </c>
      <c r="I1401" s="11"/>
      <c r="J1401" s="11"/>
      <c r="K1401" s="11"/>
      <c r="L1401" s="11"/>
    </row>
    <row r="1402" spans="1:15" ht="14.4">
      <c r="A1402" s="6" t="s">
        <v>2048</v>
      </c>
      <c r="B1402" s="7"/>
      <c r="C1402" s="6" t="s">
        <v>2049</v>
      </c>
      <c r="D1402" s="14" t="s">
        <v>100</v>
      </c>
      <c r="H1402" s="22"/>
      <c r="I1402" s="11"/>
      <c r="J1402" s="11"/>
      <c r="K1402" s="11"/>
      <c r="L1402" s="11"/>
    </row>
    <row r="1403" spans="1:15" ht="14.4">
      <c r="A1403" s="14" t="s">
        <v>2050</v>
      </c>
      <c r="B1403" s="13"/>
      <c r="C1403" s="14" t="s">
        <v>2049</v>
      </c>
      <c r="D1403" s="14"/>
      <c r="E1403" s="14"/>
      <c r="F1403" s="14"/>
      <c r="G1403" s="6"/>
      <c r="H1403" s="30" t="s">
        <v>71</v>
      </c>
      <c r="I1403" s="10"/>
      <c r="J1403" s="11"/>
      <c r="K1403" s="11"/>
      <c r="L1403" s="11"/>
    </row>
    <row r="1404" spans="1:15" ht="14.4">
      <c r="A1404" s="6" t="s">
        <v>2050</v>
      </c>
      <c r="B1404" s="7"/>
      <c r="C1404" s="6" t="s">
        <v>2049</v>
      </c>
      <c r="H1404" s="42">
        <v>45222</v>
      </c>
      <c r="I1404" s="11"/>
      <c r="J1404" s="11"/>
      <c r="K1404" s="11"/>
      <c r="L1404" s="11"/>
    </row>
    <row r="1405" spans="1:15" ht="14.4">
      <c r="A1405" s="6" t="s">
        <v>2051</v>
      </c>
      <c r="B1405" s="7"/>
      <c r="C1405" s="6" t="s">
        <v>2052</v>
      </c>
      <c r="H1405" s="9" t="s">
        <v>109</v>
      </c>
      <c r="I1405" s="11"/>
      <c r="J1405" s="11"/>
      <c r="K1405" s="11"/>
      <c r="L1405" s="11"/>
    </row>
    <row r="1406" spans="1:15" ht="14.4">
      <c r="A1406" s="6" t="s">
        <v>2051</v>
      </c>
      <c r="B1406" s="7"/>
      <c r="C1406" s="6" t="s">
        <v>2052</v>
      </c>
      <c r="H1406" s="9"/>
      <c r="I1406" s="11"/>
      <c r="J1406" s="11" t="s">
        <v>159</v>
      </c>
      <c r="K1406" s="11"/>
      <c r="L1406" s="11"/>
    </row>
    <row r="1407" spans="1:15" ht="14.4">
      <c r="A1407" s="14" t="s">
        <v>2053</v>
      </c>
      <c r="B1407" s="14"/>
      <c r="C1407" s="14" t="s">
        <v>2054</v>
      </c>
      <c r="D1407" s="14"/>
      <c r="E1407" s="15">
        <v>41456</v>
      </c>
      <c r="F1407" s="14"/>
      <c r="G1407" s="14"/>
      <c r="H1407" s="10"/>
      <c r="I1407" s="10"/>
      <c r="J1407" s="10"/>
      <c r="K1407" s="10"/>
      <c r="L1407" s="10"/>
      <c r="M1407" s="14"/>
      <c r="N1407" s="14"/>
      <c r="O1407" s="14"/>
    </row>
    <row r="1408" spans="1:15" ht="14.4">
      <c r="A1408" s="14" t="s">
        <v>2055</v>
      </c>
      <c r="B1408" s="14" t="s">
        <v>2056</v>
      </c>
      <c r="C1408" s="19" t="str">
        <f>HYPERLINK("mailto:rosinapicardi@yahoo.com.ar","rosinapicardi@yahoo.com.ar")</f>
        <v>rosinapicardi@yahoo.com.ar</v>
      </c>
      <c r="D1408" s="15">
        <v>41183</v>
      </c>
      <c r="E1408" s="14"/>
      <c r="F1408" s="14"/>
      <c r="G1408" s="14"/>
      <c r="H1408" s="10"/>
      <c r="I1408" s="10"/>
      <c r="J1408" s="10"/>
      <c r="K1408" s="10"/>
      <c r="L1408" s="10"/>
      <c r="M1408" s="14"/>
      <c r="N1408" s="14"/>
      <c r="O1408" s="14"/>
    </row>
    <row r="1409" spans="1:15" ht="14.4">
      <c r="A1409" s="6" t="s">
        <v>2057</v>
      </c>
      <c r="B1409" s="8">
        <v>1164883853</v>
      </c>
      <c r="C1409" s="7"/>
      <c r="H1409" s="69" t="s">
        <v>269</v>
      </c>
      <c r="I1409" s="11"/>
      <c r="J1409" s="11"/>
      <c r="K1409" s="11"/>
      <c r="L1409" s="11"/>
    </row>
    <row r="1410" spans="1:15" ht="14.4">
      <c r="A1410" s="14" t="s">
        <v>2058</v>
      </c>
      <c r="B1410" s="14" t="s">
        <v>2059</v>
      </c>
      <c r="C1410" s="14" t="s">
        <v>2060</v>
      </c>
      <c r="D1410" s="15">
        <v>41030</v>
      </c>
      <c r="E1410" s="14"/>
      <c r="F1410" s="14"/>
      <c r="G1410" s="14"/>
      <c r="H1410" s="10"/>
      <c r="I1410" s="10"/>
      <c r="J1410" s="10"/>
      <c r="K1410" s="10"/>
      <c r="L1410" s="10"/>
      <c r="M1410" s="14"/>
      <c r="N1410" s="14"/>
      <c r="O1410" s="14"/>
    </row>
    <row r="1411" spans="1:15" ht="14.4">
      <c r="A1411" s="6" t="s">
        <v>2061</v>
      </c>
      <c r="B1411" s="7"/>
      <c r="C1411" s="6"/>
      <c r="H1411" s="42">
        <v>45954</v>
      </c>
      <c r="I1411" s="11"/>
      <c r="J1411" s="11"/>
      <c r="K1411" s="11"/>
      <c r="L1411" s="11"/>
    </row>
    <row r="1412" spans="1:15" ht="14.4">
      <c r="A1412" s="6" t="s">
        <v>2061</v>
      </c>
      <c r="B1412" s="7"/>
      <c r="C1412" s="6"/>
      <c r="H1412" s="9"/>
      <c r="I1412" s="41">
        <v>45985</v>
      </c>
      <c r="J1412" s="11"/>
      <c r="K1412" s="11"/>
      <c r="L1412" s="11"/>
    </row>
    <row r="1413" spans="1:15" ht="14.4">
      <c r="A1413" s="6" t="s">
        <v>2061</v>
      </c>
      <c r="B1413" s="7"/>
      <c r="C1413" s="6"/>
      <c r="H1413" s="9"/>
      <c r="I1413" s="11"/>
      <c r="J1413" s="11" t="s">
        <v>82</v>
      </c>
      <c r="K1413" s="11"/>
      <c r="L1413" s="11"/>
    </row>
    <row r="1414" spans="1:15" ht="14.4">
      <c r="A1414" s="14" t="s">
        <v>2062</v>
      </c>
      <c r="B1414" s="14"/>
      <c r="C1414" s="14" t="s">
        <v>2063</v>
      </c>
      <c r="D1414" s="14"/>
      <c r="E1414" s="14"/>
      <c r="F1414" s="15">
        <v>40787</v>
      </c>
      <c r="G1414" s="14"/>
      <c r="H1414" s="10"/>
      <c r="I1414" s="10"/>
      <c r="J1414" s="10"/>
      <c r="K1414" s="10"/>
      <c r="L1414" s="10"/>
      <c r="M1414" s="14"/>
      <c r="N1414" s="14"/>
      <c r="O1414" s="14"/>
    </row>
    <row r="1415" spans="1:15" ht="14.4">
      <c r="A1415" s="6" t="s">
        <v>2064</v>
      </c>
      <c r="B1415" s="7"/>
      <c r="C1415" s="6" t="s">
        <v>2065</v>
      </c>
      <c r="H1415" s="6" t="s">
        <v>34</v>
      </c>
      <c r="I1415" s="11"/>
      <c r="J1415" s="11"/>
      <c r="K1415" s="11"/>
      <c r="L1415" s="11"/>
    </row>
    <row r="1416" spans="1:15" ht="14.4">
      <c r="A1416" s="6" t="s">
        <v>2064</v>
      </c>
      <c r="B1416" s="7"/>
      <c r="C1416" s="6" t="s">
        <v>2065</v>
      </c>
      <c r="H1416" s="9" t="s">
        <v>109</v>
      </c>
      <c r="I1416" s="11"/>
      <c r="J1416" s="11"/>
      <c r="K1416" s="11"/>
      <c r="L1416" s="11"/>
    </row>
    <row r="1417" spans="1:15" ht="14.4">
      <c r="A1417" s="6" t="s">
        <v>2064</v>
      </c>
      <c r="B1417" s="7"/>
      <c r="C1417" s="6" t="s">
        <v>2065</v>
      </c>
      <c r="H1417" s="9"/>
      <c r="I1417" s="11"/>
      <c r="J1417" s="11" t="s">
        <v>159</v>
      </c>
      <c r="K1417" s="11"/>
      <c r="L1417" s="11"/>
    </row>
    <row r="1418" spans="1:15" ht="14.4">
      <c r="A1418" s="6" t="s">
        <v>2064</v>
      </c>
      <c r="B1418" s="6"/>
      <c r="C1418" s="6" t="s">
        <v>2065</v>
      </c>
      <c r="H1418" s="9"/>
      <c r="I1418" s="11"/>
      <c r="J1418" s="11"/>
      <c r="K1418" s="11"/>
      <c r="L1418" s="11" t="s">
        <v>75</v>
      </c>
    </row>
    <row r="1419" spans="1:15" ht="14.4">
      <c r="A1419" s="6" t="s">
        <v>2064</v>
      </c>
      <c r="B1419" s="7"/>
      <c r="C1419" s="6" t="s">
        <v>2065</v>
      </c>
      <c r="H1419" s="9"/>
      <c r="I1419" s="11"/>
      <c r="J1419" s="11"/>
      <c r="K1419" s="17" t="s">
        <v>20</v>
      </c>
      <c r="L1419" s="11"/>
    </row>
    <row r="1420" spans="1:15" ht="14.4">
      <c r="A1420" s="6" t="s">
        <v>2066</v>
      </c>
      <c r="B1420" s="7"/>
      <c r="C1420" s="7"/>
      <c r="H1420" s="9"/>
      <c r="I1420" s="11"/>
      <c r="J1420" s="11"/>
      <c r="K1420" s="11"/>
      <c r="L1420" s="10" t="s">
        <v>35</v>
      </c>
    </row>
    <row r="1421" spans="1:15" ht="14.4">
      <c r="A1421" s="6" t="s">
        <v>2067</v>
      </c>
      <c r="B1421" s="30">
        <v>1161595813</v>
      </c>
      <c r="C1421" s="54" t="s">
        <v>2068</v>
      </c>
      <c r="H1421" s="69" t="s">
        <v>269</v>
      </c>
      <c r="I1421" s="11" t="s">
        <v>110</v>
      </c>
      <c r="J1421" s="35">
        <v>45252</v>
      </c>
      <c r="K1421" s="11"/>
      <c r="L1421" s="11"/>
    </row>
    <row r="1422" spans="1:15" ht="14.4">
      <c r="A1422" s="6" t="s">
        <v>2067</v>
      </c>
      <c r="B1422" s="30">
        <v>1161595813</v>
      </c>
      <c r="C1422" s="54" t="s">
        <v>2068</v>
      </c>
      <c r="H1422" s="9"/>
      <c r="I1422" s="11"/>
      <c r="J1422" s="11"/>
      <c r="K1422" s="11" t="s">
        <v>159</v>
      </c>
      <c r="L1422" s="11"/>
    </row>
    <row r="1423" spans="1:15" ht="14.4">
      <c r="A1423" s="6" t="s">
        <v>2069</v>
      </c>
      <c r="B1423" s="7"/>
      <c r="C1423" s="6"/>
      <c r="H1423" s="9" t="s">
        <v>49</v>
      </c>
      <c r="I1423" s="10" t="s">
        <v>50</v>
      </c>
      <c r="J1423" s="11"/>
      <c r="K1423" s="11"/>
      <c r="L1423" s="11"/>
    </row>
    <row r="1424" spans="1:15" ht="14.4">
      <c r="A1424" s="6" t="s">
        <v>2069</v>
      </c>
      <c r="B1424" s="7"/>
      <c r="C1424" s="6"/>
      <c r="H1424" s="9"/>
      <c r="I1424" s="11"/>
      <c r="J1424" s="10" t="s">
        <v>51</v>
      </c>
      <c r="K1424" s="11"/>
      <c r="L1424" s="11"/>
    </row>
    <row r="1425" spans="1:17" ht="14.4">
      <c r="A1425" s="6" t="s">
        <v>2070</v>
      </c>
      <c r="B1425" s="30">
        <v>1161595813</v>
      </c>
      <c r="C1425" s="54" t="s">
        <v>2068</v>
      </c>
      <c r="H1425" s="9"/>
      <c r="I1425" s="11"/>
      <c r="J1425" s="11"/>
      <c r="K1425" s="11"/>
      <c r="L1425" s="11"/>
      <c r="P1425" s="26" t="s">
        <v>75</v>
      </c>
    </row>
    <row r="1426" spans="1:17" ht="14.4">
      <c r="A1426" s="13" t="s">
        <v>2071</v>
      </c>
      <c r="B1426" s="17">
        <v>1531237754</v>
      </c>
      <c r="C1426" s="17" t="s">
        <v>2072</v>
      </c>
      <c r="D1426" s="14"/>
      <c r="E1426" s="14"/>
      <c r="F1426" s="14"/>
      <c r="G1426" s="14"/>
      <c r="H1426" s="10"/>
      <c r="I1426" s="10"/>
      <c r="J1426" s="10"/>
      <c r="K1426" s="10"/>
      <c r="L1426" s="10"/>
      <c r="M1426" s="14"/>
      <c r="N1426" s="14"/>
      <c r="O1426" s="15">
        <v>42856</v>
      </c>
    </row>
    <row r="1427" spans="1:17" ht="14.4">
      <c r="A1427" s="14" t="s">
        <v>2073</v>
      </c>
      <c r="B1427" s="13">
        <v>1565455693</v>
      </c>
      <c r="C1427" s="14" t="s">
        <v>2074</v>
      </c>
      <c r="D1427" s="15">
        <v>41395</v>
      </c>
      <c r="E1427" s="14"/>
      <c r="F1427" s="15">
        <v>41487</v>
      </c>
      <c r="G1427" s="15">
        <v>41852</v>
      </c>
      <c r="H1427" s="23" t="s">
        <v>742</v>
      </c>
      <c r="I1427" s="10"/>
      <c r="J1427" s="10"/>
      <c r="K1427" s="10"/>
      <c r="L1427" s="10"/>
      <c r="M1427" s="14"/>
      <c r="N1427" s="14"/>
      <c r="O1427" s="14"/>
    </row>
    <row r="1428" spans="1:17" ht="14.4">
      <c r="A1428" s="13" t="s">
        <v>2075</v>
      </c>
      <c r="B1428" s="13" t="s">
        <v>2076</v>
      </c>
      <c r="C1428" s="46" t="str">
        <f>HYPERLINK("mailto:ruthalvarez3@hotmail.com","ruthalvarez3@hotmail.com")</f>
        <v>ruthalvarez3@hotmail.com</v>
      </c>
      <c r="D1428" s="15">
        <v>40817</v>
      </c>
      <c r="E1428" s="14"/>
      <c r="F1428" s="14"/>
      <c r="G1428" s="14"/>
      <c r="H1428" s="10"/>
      <c r="I1428" s="10"/>
      <c r="J1428" s="10"/>
      <c r="K1428" s="10"/>
      <c r="L1428" s="10"/>
      <c r="M1428" s="14"/>
      <c r="N1428" s="14"/>
      <c r="O1428" s="14"/>
    </row>
    <row r="1429" spans="1:17" ht="14.4">
      <c r="A1429" s="14" t="s">
        <v>2077</v>
      </c>
      <c r="B1429" s="14" t="s">
        <v>2078</v>
      </c>
      <c r="C1429" s="14" t="s">
        <v>2079</v>
      </c>
      <c r="D1429" s="15">
        <v>41730</v>
      </c>
      <c r="E1429" s="14"/>
      <c r="F1429" s="15">
        <v>41760</v>
      </c>
      <c r="G1429" s="14"/>
      <c r="H1429" s="10"/>
      <c r="I1429" s="10"/>
      <c r="J1429" s="10"/>
      <c r="K1429" s="10"/>
      <c r="L1429" s="10"/>
      <c r="M1429" s="14"/>
      <c r="N1429" s="14"/>
      <c r="O1429" s="14"/>
    </row>
    <row r="1430" spans="1:17" ht="14.4">
      <c r="A1430" s="14" t="s">
        <v>2080</v>
      </c>
      <c r="B1430" s="13">
        <v>1541623580</v>
      </c>
      <c r="C1430" s="14" t="s">
        <v>2081</v>
      </c>
      <c r="D1430" s="15">
        <v>40848</v>
      </c>
      <c r="E1430" s="14"/>
      <c r="F1430" s="14"/>
      <c r="G1430" s="14"/>
      <c r="H1430" s="10"/>
      <c r="I1430" s="10"/>
      <c r="J1430" s="10"/>
      <c r="K1430" s="10"/>
      <c r="L1430" s="10"/>
      <c r="M1430" s="14"/>
      <c r="N1430" s="14"/>
      <c r="O1430" s="14"/>
    </row>
    <row r="1431" spans="1:17" ht="14.4">
      <c r="A1431" s="6" t="s">
        <v>2082</v>
      </c>
      <c r="B1431" s="29">
        <v>1165477011</v>
      </c>
      <c r="C1431" s="10" t="s">
        <v>2083</v>
      </c>
      <c r="H1431" s="22" t="s">
        <v>275</v>
      </c>
      <c r="I1431" s="11"/>
      <c r="J1431" s="11"/>
      <c r="K1431" s="11"/>
      <c r="L1431" s="11"/>
      <c r="P1431" s="12" t="s">
        <v>194</v>
      </c>
    </row>
    <row r="1432" spans="1:17" ht="14.4">
      <c r="A1432" s="6" t="s">
        <v>2082</v>
      </c>
      <c r="B1432" s="7"/>
      <c r="C1432" s="7"/>
      <c r="H1432" s="22"/>
      <c r="I1432" s="11"/>
      <c r="J1432" s="11"/>
      <c r="K1432" s="11" t="s">
        <v>110</v>
      </c>
      <c r="L1432" s="11"/>
    </row>
    <row r="1433" spans="1:17" ht="14.4">
      <c r="A1433" s="6" t="s">
        <v>2082</v>
      </c>
      <c r="B1433" s="7"/>
      <c r="C1433" s="7"/>
      <c r="D1433" s="8">
        <v>14300</v>
      </c>
      <c r="H1433" s="9"/>
      <c r="I1433" s="11"/>
      <c r="J1433" s="11"/>
      <c r="K1433" s="11"/>
      <c r="L1433" s="41">
        <v>45253</v>
      </c>
    </row>
    <row r="1434" spans="1:17" ht="14.4">
      <c r="A1434" s="6" t="s">
        <v>2084</v>
      </c>
      <c r="B1434" s="7"/>
      <c r="C1434" s="6"/>
      <c r="H1434" s="9"/>
      <c r="I1434" s="11"/>
      <c r="J1434" s="11"/>
      <c r="K1434" s="11"/>
      <c r="L1434" s="11"/>
      <c r="Q1434" s="16">
        <v>45985</v>
      </c>
    </row>
    <row r="1435" spans="1:17" ht="14.4">
      <c r="A1435" s="6" t="s">
        <v>2085</v>
      </c>
      <c r="B1435" s="7"/>
      <c r="C1435" s="7"/>
      <c r="H1435" s="9"/>
      <c r="I1435" s="11"/>
      <c r="J1435" s="11"/>
      <c r="K1435" s="11"/>
      <c r="L1435" s="11"/>
      <c r="Q1435" s="16">
        <v>45833</v>
      </c>
    </row>
    <row r="1436" spans="1:17" ht="14.4">
      <c r="A1436" s="6" t="s">
        <v>2086</v>
      </c>
      <c r="B1436" s="8">
        <v>1141778513</v>
      </c>
      <c r="C1436" s="6" t="s">
        <v>2087</v>
      </c>
      <c r="H1436" s="9" t="s">
        <v>123</v>
      </c>
      <c r="I1436" s="11"/>
      <c r="J1436" s="11"/>
      <c r="K1436" s="11"/>
      <c r="L1436" s="11"/>
    </row>
    <row r="1437" spans="1:17" ht="14.4">
      <c r="A1437" s="6" t="s">
        <v>2088</v>
      </c>
      <c r="B1437" s="7"/>
      <c r="C1437" s="7"/>
      <c r="H1437" s="9"/>
      <c r="I1437" s="11"/>
      <c r="J1437" s="11"/>
      <c r="K1437" s="11" t="s">
        <v>22</v>
      </c>
      <c r="L1437" s="11"/>
    </row>
    <row r="1438" spans="1:17" ht="14.4">
      <c r="A1438" s="6" t="s">
        <v>2089</v>
      </c>
      <c r="B1438" s="33" t="s">
        <v>2090</v>
      </c>
      <c r="C1438" s="6" t="s">
        <v>2091</v>
      </c>
      <c r="H1438" s="22"/>
      <c r="I1438" s="10" t="s">
        <v>268</v>
      </c>
      <c r="J1438" s="11"/>
      <c r="K1438" s="11"/>
      <c r="L1438" s="11"/>
    </row>
    <row r="1439" spans="1:17" ht="14.4">
      <c r="A1439" s="6" t="s">
        <v>2092</v>
      </c>
      <c r="B1439" s="7"/>
      <c r="C1439" s="6"/>
      <c r="H1439" s="9"/>
      <c r="I1439" s="11"/>
      <c r="J1439" s="11"/>
      <c r="K1439" s="11"/>
      <c r="L1439" s="11"/>
      <c r="Q1439" s="16">
        <v>45985</v>
      </c>
    </row>
    <row r="1440" spans="1:17" ht="14.4">
      <c r="A1440" s="6" t="s">
        <v>2093</v>
      </c>
      <c r="B1440" s="7"/>
      <c r="C1440" s="7"/>
      <c r="H1440" s="9"/>
      <c r="I1440" s="11"/>
      <c r="J1440" s="11"/>
      <c r="K1440" s="11"/>
      <c r="L1440" s="11"/>
      <c r="Q1440" s="16">
        <v>45713</v>
      </c>
    </row>
    <row r="1441" spans="1:17" ht="14.4">
      <c r="A1441" s="25" t="s">
        <v>2094</v>
      </c>
      <c r="B1441" s="38">
        <v>1530704695</v>
      </c>
      <c r="C1441" s="26" t="s">
        <v>2095</v>
      </c>
      <c r="E1441" s="39">
        <v>43149</v>
      </c>
      <c r="H1441" s="22"/>
      <c r="I1441" s="11"/>
      <c r="J1441" s="11"/>
      <c r="K1441" s="11"/>
      <c r="L1441" s="11"/>
    </row>
    <row r="1442" spans="1:17" ht="14.4">
      <c r="A1442" s="13" t="s">
        <v>2096</v>
      </c>
      <c r="B1442" s="13">
        <v>1530863311</v>
      </c>
      <c r="C1442" s="14" t="s">
        <v>2097</v>
      </c>
      <c r="D1442" s="14"/>
      <c r="E1442" s="15">
        <v>41821</v>
      </c>
      <c r="F1442" s="14"/>
      <c r="G1442" s="14"/>
      <c r="H1442" s="10"/>
      <c r="I1442" s="10"/>
      <c r="J1442" s="10"/>
      <c r="K1442" s="10"/>
      <c r="L1442" s="10"/>
      <c r="M1442" s="14"/>
      <c r="N1442" s="14"/>
      <c r="O1442" s="14"/>
    </row>
    <row r="1443" spans="1:17" ht="14.4">
      <c r="A1443" s="14" t="s">
        <v>2098</v>
      </c>
      <c r="B1443" s="14" t="s">
        <v>2099</v>
      </c>
      <c r="C1443" s="19" t="str">
        <f>HYPERLINK("mailto:santiresnik@hotmail.com","santiresnik@hotmail.com ")</f>
        <v>santiresnik@hotmail.com </v>
      </c>
      <c r="D1443" s="15">
        <v>41183</v>
      </c>
      <c r="E1443" s="14"/>
      <c r="F1443" s="14"/>
      <c r="G1443" s="14"/>
      <c r="H1443" s="10"/>
      <c r="I1443" s="10"/>
      <c r="J1443" s="10"/>
      <c r="K1443" s="10"/>
      <c r="L1443" s="10"/>
      <c r="M1443" s="14"/>
      <c r="N1443" s="14"/>
      <c r="O1443" s="14"/>
    </row>
    <row r="1444" spans="1:17" ht="14.4">
      <c r="A1444" s="13" t="s">
        <v>2100</v>
      </c>
      <c r="B1444" s="13" t="s">
        <v>2101</v>
      </c>
      <c r="C1444" s="14" t="s">
        <v>2102</v>
      </c>
      <c r="D1444" s="14"/>
      <c r="E1444" s="14"/>
      <c r="F1444" s="14"/>
      <c r="G1444" s="14"/>
      <c r="H1444" s="10"/>
      <c r="I1444" s="10"/>
      <c r="J1444" s="10"/>
      <c r="K1444" s="10"/>
      <c r="L1444" s="10"/>
      <c r="M1444" s="15">
        <v>42064</v>
      </c>
      <c r="N1444" s="14"/>
      <c r="O1444" s="14"/>
    </row>
    <row r="1445" spans="1:17" ht="14.4">
      <c r="A1445" s="14" t="s">
        <v>2103</v>
      </c>
      <c r="B1445" s="14" t="s">
        <v>2104</v>
      </c>
      <c r="C1445" s="14" t="s">
        <v>2105</v>
      </c>
      <c r="D1445" s="15">
        <v>41061</v>
      </c>
      <c r="E1445" s="14"/>
      <c r="F1445" s="15">
        <v>41153</v>
      </c>
      <c r="G1445" s="14"/>
      <c r="H1445" s="20">
        <v>41275</v>
      </c>
      <c r="I1445" s="10"/>
      <c r="J1445" s="10"/>
      <c r="K1445" s="10"/>
      <c r="L1445" s="10"/>
      <c r="M1445" s="14"/>
      <c r="N1445" s="14"/>
      <c r="O1445" s="14"/>
    </row>
    <row r="1446" spans="1:17" ht="14.4">
      <c r="A1446" s="13" t="s">
        <v>2106</v>
      </c>
      <c r="B1446" s="13">
        <v>1539016005</v>
      </c>
      <c r="C1446" s="13" t="s">
        <v>2107</v>
      </c>
      <c r="D1446" s="14"/>
      <c r="E1446" s="15">
        <v>42005</v>
      </c>
      <c r="F1446" s="14"/>
      <c r="G1446" s="14"/>
      <c r="H1446" s="10"/>
      <c r="I1446" s="10"/>
      <c r="J1446" s="10"/>
      <c r="K1446" s="10"/>
      <c r="L1446" s="10"/>
      <c r="M1446" s="14"/>
      <c r="N1446" s="14"/>
      <c r="O1446" s="14"/>
    </row>
    <row r="1447" spans="1:17" ht="14.4">
      <c r="A1447" s="14" t="s">
        <v>2108</v>
      </c>
      <c r="B1447" s="13" t="s">
        <v>2109</v>
      </c>
      <c r="C1447" s="13" t="s">
        <v>2110</v>
      </c>
      <c r="D1447" s="14"/>
      <c r="E1447" s="14"/>
      <c r="F1447" s="14"/>
      <c r="G1447" s="14"/>
      <c r="H1447" s="10"/>
      <c r="I1447" s="10"/>
      <c r="J1447" s="10"/>
      <c r="K1447" s="10"/>
      <c r="L1447" s="10"/>
    </row>
    <row r="1448" spans="1:17" ht="14.4">
      <c r="A1448" s="14" t="s">
        <v>2111</v>
      </c>
      <c r="B1448" s="14" t="s">
        <v>2112</v>
      </c>
      <c r="C1448" s="19" t="str">
        <f>HYPERLINK("mailto:herrero.sebastian@gmail.com","herrero.sebastian@gmail.com")</f>
        <v>herrero.sebastian@gmail.com</v>
      </c>
      <c r="D1448" s="15">
        <v>40603</v>
      </c>
      <c r="E1448" s="14"/>
      <c r="F1448" s="14"/>
      <c r="G1448" s="14"/>
      <c r="H1448" s="10"/>
      <c r="I1448" s="10"/>
      <c r="J1448" s="10"/>
      <c r="K1448" s="10"/>
      <c r="L1448" s="10"/>
      <c r="M1448" s="14"/>
      <c r="N1448" s="14"/>
      <c r="O1448" s="14"/>
    </row>
    <row r="1449" spans="1:17" ht="14.4">
      <c r="A1449" s="6" t="s">
        <v>2113</v>
      </c>
      <c r="B1449" s="7"/>
      <c r="C1449" s="7"/>
      <c r="H1449" s="9"/>
      <c r="I1449" s="11"/>
      <c r="J1449" s="11"/>
      <c r="K1449" s="11"/>
      <c r="L1449" s="11"/>
      <c r="Q1449" s="16">
        <v>45713</v>
      </c>
    </row>
    <row r="1450" spans="1:17" ht="14.4">
      <c r="A1450" s="6" t="s">
        <v>2114</v>
      </c>
      <c r="B1450" s="8" t="s">
        <v>2115</v>
      </c>
      <c r="C1450" s="6" t="s">
        <v>2116</v>
      </c>
      <c r="H1450" s="69" t="s">
        <v>269</v>
      </c>
      <c r="I1450" s="11" t="s">
        <v>110</v>
      </c>
      <c r="J1450" s="11"/>
      <c r="K1450" s="11"/>
      <c r="L1450" s="11"/>
    </row>
    <row r="1451" spans="1:17" ht="14.4">
      <c r="A1451" s="6" t="s">
        <v>2114</v>
      </c>
      <c r="B1451" s="7"/>
      <c r="C1451" s="6" t="s">
        <v>2116</v>
      </c>
      <c r="H1451" s="22"/>
      <c r="I1451" s="11"/>
      <c r="J1451" s="35">
        <v>45252</v>
      </c>
      <c r="K1451" s="11"/>
      <c r="L1451" s="11"/>
    </row>
    <row r="1452" spans="1:17" ht="14.4">
      <c r="A1452" s="6" t="s">
        <v>2117</v>
      </c>
      <c r="B1452" s="7"/>
      <c r="C1452" s="6" t="s">
        <v>2118</v>
      </c>
      <c r="H1452" s="9" t="s">
        <v>159</v>
      </c>
      <c r="I1452" s="11"/>
      <c r="J1452" s="11"/>
      <c r="K1452" s="11"/>
      <c r="L1452" s="11"/>
    </row>
    <row r="1453" spans="1:17" ht="14.4">
      <c r="A1453" s="6" t="s">
        <v>2119</v>
      </c>
      <c r="B1453" s="6" t="s">
        <v>103</v>
      </c>
      <c r="C1453" s="6" t="s">
        <v>2120</v>
      </c>
      <c r="H1453" s="6" t="s">
        <v>34</v>
      </c>
      <c r="I1453" s="11"/>
      <c r="J1453" s="11"/>
      <c r="K1453" s="11"/>
      <c r="L1453" s="11"/>
    </row>
    <row r="1454" spans="1:17" ht="14.4">
      <c r="A1454" s="6" t="s">
        <v>2121</v>
      </c>
      <c r="B1454" s="7"/>
      <c r="C1454" s="6"/>
      <c r="H1454" s="42">
        <v>45954</v>
      </c>
      <c r="I1454" s="11"/>
      <c r="J1454" s="11"/>
      <c r="K1454" s="11"/>
      <c r="L1454" s="11"/>
    </row>
    <row r="1455" spans="1:17" ht="14.4">
      <c r="A1455" s="6" t="s">
        <v>2121</v>
      </c>
      <c r="B1455" s="7"/>
      <c r="C1455" s="6"/>
      <c r="H1455" s="9"/>
      <c r="I1455" s="41">
        <v>45985</v>
      </c>
      <c r="J1455" s="11"/>
      <c r="K1455" s="11"/>
      <c r="L1455" s="11"/>
    </row>
    <row r="1456" spans="1:17" ht="14.4">
      <c r="A1456" s="9" t="s">
        <v>2121</v>
      </c>
      <c r="B1456" s="7"/>
      <c r="C1456" s="7"/>
      <c r="H1456" s="9"/>
      <c r="I1456" s="35">
        <v>45713</v>
      </c>
      <c r="J1456" s="11"/>
      <c r="K1456" s="11"/>
      <c r="L1456" s="11"/>
    </row>
    <row r="1457" spans="1:15" ht="14.4">
      <c r="A1457" s="6" t="s">
        <v>2121</v>
      </c>
      <c r="B1457" s="7"/>
      <c r="C1457" s="6"/>
      <c r="H1457" s="9"/>
      <c r="I1457" s="11"/>
      <c r="J1457" s="11" t="s">
        <v>82</v>
      </c>
      <c r="K1457" s="11"/>
      <c r="L1457" s="11"/>
    </row>
    <row r="1458" spans="1:15" ht="14.4">
      <c r="A1458" s="6" t="s">
        <v>2122</v>
      </c>
      <c r="B1458" s="7"/>
      <c r="C1458" s="6" t="s">
        <v>2123</v>
      </c>
      <c r="H1458" s="42">
        <v>45222</v>
      </c>
      <c r="I1458" s="11"/>
      <c r="J1458" s="11"/>
      <c r="K1458" s="11"/>
      <c r="L1458" s="11"/>
    </row>
    <row r="1459" spans="1:15" ht="14.4">
      <c r="A1459" s="6" t="s">
        <v>2124</v>
      </c>
      <c r="B1459" s="32"/>
      <c r="C1459" s="33" t="s">
        <v>2125</v>
      </c>
      <c r="E1459" s="21" t="s">
        <v>132</v>
      </c>
      <c r="H1459" s="22"/>
      <c r="I1459" s="11"/>
      <c r="J1459" s="11"/>
      <c r="K1459" s="11"/>
      <c r="L1459" s="11"/>
    </row>
    <row r="1460" spans="1:15" ht="14.4">
      <c r="A1460" s="14" t="s">
        <v>2126</v>
      </c>
      <c r="B1460" s="14"/>
      <c r="C1460" s="14" t="s">
        <v>2127</v>
      </c>
      <c r="D1460" s="14"/>
      <c r="E1460" s="15">
        <v>41426</v>
      </c>
      <c r="F1460" s="14"/>
      <c r="G1460" s="14"/>
      <c r="H1460" s="10"/>
      <c r="I1460" s="10"/>
      <c r="J1460" s="10"/>
      <c r="K1460" s="10"/>
      <c r="L1460" s="10"/>
      <c r="M1460" s="14"/>
      <c r="N1460" s="14"/>
      <c r="O1460" s="14"/>
    </row>
    <row r="1461" spans="1:15" ht="14.4">
      <c r="A1461" s="14" t="s">
        <v>2128</v>
      </c>
      <c r="B1461" s="13">
        <v>1559915876</v>
      </c>
      <c r="C1461" s="14" t="s">
        <v>2129</v>
      </c>
      <c r="D1461" s="15">
        <v>41000</v>
      </c>
      <c r="E1461" s="14"/>
      <c r="F1461" s="14"/>
      <c r="G1461" s="14"/>
      <c r="H1461" s="10"/>
      <c r="I1461" s="10"/>
      <c r="J1461" s="10"/>
      <c r="K1461" s="10"/>
      <c r="L1461" s="10"/>
      <c r="M1461" s="14"/>
      <c r="N1461" s="14"/>
      <c r="O1461" s="14"/>
    </row>
    <row r="1462" spans="1:15" ht="14.4">
      <c r="A1462" s="14" t="s">
        <v>2130</v>
      </c>
      <c r="B1462" s="13">
        <v>1559778651</v>
      </c>
      <c r="C1462" s="14" t="s">
        <v>2131</v>
      </c>
      <c r="D1462" s="14"/>
      <c r="E1462" s="49">
        <v>42903</v>
      </c>
      <c r="F1462" s="14"/>
      <c r="G1462" s="14"/>
      <c r="H1462" s="10"/>
      <c r="I1462" s="10"/>
      <c r="J1462" s="10"/>
      <c r="K1462" s="10"/>
      <c r="L1462" s="10"/>
      <c r="M1462" s="14"/>
      <c r="N1462" s="14"/>
      <c r="O1462" s="14"/>
    </row>
    <row r="1463" spans="1:15" ht="14.4">
      <c r="A1463" s="9" t="s">
        <v>2132</v>
      </c>
      <c r="B1463" s="30" t="s">
        <v>2133</v>
      </c>
      <c r="C1463" s="9" t="s">
        <v>2134</v>
      </c>
      <c r="H1463" s="69" t="s">
        <v>269</v>
      </c>
      <c r="I1463" s="11" t="s">
        <v>110</v>
      </c>
      <c r="J1463" s="11"/>
      <c r="K1463" s="11"/>
      <c r="L1463" s="11"/>
    </row>
    <row r="1464" spans="1:15" ht="14.4">
      <c r="A1464" s="9" t="s">
        <v>2132</v>
      </c>
      <c r="B1464" s="9" t="s">
        <v>2133</v>
      </c>
      <c r="C1464" s="9" t="s">
        <v>2134</v>
      </c>
      <c r="H1464" s="22"/>
      <c r="I1464" s="11"/>
      <c r="J1464" s="35">
        <v>45252</v>
      </c>
      <c r="K1464" s="11"/>
      <c r="L1464" s="11"/>
    </row>
    <row r="1465" spans="1:15" ht="14.4">
      <c r="A1465" s="6" t="s">
        <v>2135</v>
      </c>
      <c r="B1465" s="8">
        <v>31273432</v>
      </c>
      <c r="C1465" s="6" t="s">
        <v>2136</v>
      </c>
      <c r="H1465" s="22"/>
      <c r="I1465" s="11"/>
      <c r="J1465" s="11"/>
      <c r="K1465" s="11" t="s">
        <v>110</v>
      </c>
      <c r="L1465" s="11"/>
    </row>
    <row r="1466" spans="1:15" ht="14.4">
      <c r="A1466" s="7" t="s">
        <v>2135</v>
      </c>
      <c r="B1466" s="7"/>
      <c r="C1466" s="7" t="s">
        <v>2136</v>
      </c>
      <c r="H1466" s="17" t="s">
        <v>20</v>
      </c>
      <c r="I1466" s="11"/>
      <c r="J1466" s="11"/>
      <c r="K1466" s="11"/>
      <c r="L1466" s="11"/>
    </row>
    <row r="1467" spans="1:15" ht="14.4">
      <c r="A1467" s="6" t="s">
        <v>2137</v>
      </c>
      <c r="B1467" s="7"/>
      <c r="C1467" s="6"/>
      <c r="H1467" s="9" t="s">
        <v>30</v>
      </c>
      <c r="I1467" s="10" t="s">
        <v>31</v>
      </c>
      <c r="J1467" s="11"/>
      <c r="K1467" s="11"/>
      <c r="L1467" s="11"/>
    </row>
    <row r="1468" spans="1:15" ht="14.4">
      <c r="A1468" s="6" t="s">
        <v>2138</v>
      </c>
      <c r="B1468" s="6" t="s">
        <v>993</v>
      </c>
      <c r="C1468" s="7"/>
      <c r="H1468" s="6" t="s">
        <v>34</v>
      </c>
      <c r="I1468" s="11"/>
      <c r="J1468" s="11"/>
      <c r="K1468" s="11"/>
      <c r="L1468" s="11"/>
    </row>
    <row r="1469" spans="1:15" ht="14.4">
      <c r="A1469" s="6" t="s">
        <v>2138</v>
      </c>
      <c r="B1469" s="7"/>
      <c r="C1469" s="7"/>
      <c r="H1469" s="9" t="s">
        <v>109</v>
      </c>
      <c r="I1469" s="11"/>
      <c r="J1469" s="11"/>
      <c r="K1469" s="11"/>
      <c r="L1469" s="11"/>
    </row>
    <row r="1470" spans="1:15" ht="14.4">
      <c r="A1470" s="6" t="s">
        <v>2139</v>
      </c>
      <c r="B1470" s="7"/>
      <c r="C1470" s="7"/>
      <c r="H1470" s="9" t="s">
        <v>23</v>
      </c>
      <c r="I1470" s="11"/>
      <c r="J1470" s="11"/>
      <c r="K1470" s="11"/>
      <c r="L1470" s="11"/>
    </row>
    <row r="1471" spans="1:15" ht="14.4">
      <c r="A1471" s="9" t="s">
        <v>2139</v>
      </c>
      <c r="B1471" s="7"/>
      <c r="C1471" s="7"/>
      <c r="H1471" s="9"/>
      <c r="I1471" s="11" t="s">
        <v>24</v>
      </c>
      <c r="J1471" s="11"/>
      <c r="K1471" s="11"/>
      <c r="L1471" s="11"/>
    </row>
    <row r="1472" spans="1:15" ht="14.4">
      <c r="A1472" s="6" t="s">
        <v>2140</v>
      </c>
      <c r="B1472" s="27">
        <v>1150521944</v>
      </c>
      <c r="C1472" s="80" t="s">
        <v>2141</v>
      </c>
      <c r="D1472" t="s">
        <v>689</v>
      </c>
      <c r="H1472" s="22"/>
      <c r="I1472" s="11"/>
      <c r="J1472" s="11"/>
      <c r="K1472" s="11"/>
      <c r="L1472" s="11"/>
    </row>
    <row r="1473" spans="1:17" ht="14.4">
      <c r="A1473" s="6" t="s">
        <v>2142</v>
      </c>
      <c r="B1473" s="7"/>
      <c r="C1473" s="7"/>
      <c r="H1473" s="9"/>
      <c r="I1473" s="11"/>
      <c r="J1473" s="11"/>
      <c r="K1473" s="11"/>
      <c r="L1473" s="11"/>
      <c r="Q1473" s="16">
        <v>45713</v>
      </c>
    </row>
    <row r="1474" spans="1:17" ht="14.4">
      <c r="A1474" s="14" t="s">
        <v>2143</v>
      </c>
      <c r="B1474" s="47" t="s">
        <v>2144</v>
      </c>
      <c r="C1474" s="19" t="str">
        <f>HYPERLINK("mailto:silgrared@yahoo.com.ar","silgrared@yahoo.com.ar")</f>
        <v>silgrared@yahoo.com.ar</v>
      </c>
      <c r="D1474" s="14"/>
      <c r="E1474" s="15">
        <v>41275</v>
      </c>
      <c r="F1474" s="14"/>
      <c r="G1474" s="14"/>
      <c r="H1474" s="10"/>
      <c r="I1474" s="10"/>
      <c r="J1474" s="10"/>
      <c r="K1474" s="10"/>
      <c r="L1474" s="10"/>
      <c r="M1474" s="14"/>
      <c r="N1474" s="14"/>
      <c r="O1474" s="14"/>
    </row>
    <row r="1475" spans="1:17" ht="14.4">
      <c r="A1475" s="14" t="s">
        <v>2145</v>
      </c>
      <c r="B1475" s="14"/>
      <c r="C1475" s="14"/>
      <c r="D1475" s="14"/>
      <c r="E1475" s="14"/>
      <c r="F1475" s="14"/>
      <c r="G1475" s="14"/>
      <c r="H1475" s="20">
        <v>41579</v>
      </c>
      <c r="I1475" s="10"/>
      <c r="J1475" s="10"/>
      <c r="K1475" s="10"/>
      <c r="L1475" s="10"/>
      <c r="M1475" s="14"/>
      <c r="N1475" s="14"/>
      <c r="O1475" s="14"/>
    </row>
    <row r="1476" spans="1:17" ht="14.4">
      <c r="A1476" s="6" t="s">
        <v>2146</v>
      </c>
      <c r="B1476" s="7"/>
      <c r="C1476" s="7"/>
      <c r="H1476" s="9"/>
      <c r="I1476" s="11"/>
      <c r="J1476" s="11"/>
      <c r="K1476" s="11"/>
      <c r="L1476" s="11"/>
      <c r="Q1476" s="16">
        <v>45713</v>
      </c>
    </row>
    <row r="1477" spans="1:17" ht="14.4">
      <c r="A1477" s="13" t="s">
        <v>2147</v>
      </c>
      <c r="B1477" s="13">
        <v>1549701166</v>
      </c>
      <c r="C1477" s="13" t="s">
        <v>2148</v>
      </c>
      <c r="D1477" s="15">
        <v>41852</v>
      </c>
      <c r="E1477" s="14"/>
      <c r="F1477" s="14"/>
      <c r="G1477" s="14"/>
      <c r="H1477" s="10"/>
      <c r="I1477" s="10"/>
      <c r="J1477" s="10"/>
      <c r="K1477" s="10"/>
      <c r="L1477" s="10"/>
      <c r="M1477" s="14"/>
      <c r="N1477" s="14"/>
      <c r="O1477" s="14"/>
    </row>
    <row r="1478" spans="1:17" ht="14.4">
      <c r="A1478" s="6" t="s">
        <v>2149</v>
      </c>
      <c r="B1478" s="7"/>
      <c r="C1478" s="6"/>
      <c r="H1478" s="9" t="s">
        <v>51</v>
      </c>
      <c r="I1478" s="11"/>
      <c r="J1478" s="11"/>
      <c r="K1478" s="11"/>
      <c r="L1478" s="11"/>
    </row>
    <row r="1479" spans="1:17" ht="14.4">
      <c r="A1479" s="6" t="s">
        <v>2150</v>
      </c>
      <c r="B1479" s="8">
        <v>1167126665</v>
      </c>
      <c r="C1479" s="6" t="s">
        <v>2151</v>
      </c>
      <c r="H1479" s="22"/>
      <c r="I1479" s="11"/>
      <c r="J1479" s="11"/>
      <c r="K1479" s="11"/>
      <c r="L1479" s="11"/>
      <c r="P1479" s="43" t="s">
        <v>295</v>
      </c>
    </row>
    <row r="1480" spans="1:17" ht="14.4">
      <c r="A1480" s="6" t="s">
        <v>2150</v>
      </c>
      <c r="B1480" s="7"/>
      <c r="C1480" s="6" t="s">
        <v>2151</v>
      </c>
      <c r="H1480" s="6" t="s">
        <v>34</v>
      </c>
      <c r="I1480" s="11"/>
      <c r="J1480" s="11"/>
      <c r="K1480" s="11"/>
      <c r="L1480" s="11"/>
    </row>
    <row r="1481" spans="1:17" ht="14.4">
      <c r="A1481" s="6" t="s">
        <v>2152</v>
      </c>
      <c r="B1481" s="7"/>
      <c r="C1481" s="6"/>
      <c r="H1481" s="9" t="s">
        <v>30</v>
      </c>
      <c r="I1481" s="10" t="s">
        <v>31</v>
      </c>
      <c r="J1481" s="11"/>
      <c r="K1481" s="11"/>
      <c r="L1481" s="11"/>
    </row>
    <row r="1482" spans="1:17" ht="14.4">
      <c r="A1482" s="9" t="s">
        <v>2152</v>
      </c>
      <c r="B1482" s="7"/>
      <c r="C1482" s="6"/>
      <c r="H1482" s="9"/>
      <c r="I1482" s="11"/>
      <c r="J1482" s="10" t="s">
        <v>49</v>
      </c>
      <c r="K1482" s="11"/>
      <c r="L1482" s="11"/>
    </row>
    <row r="1483" spans="1:17" ht="14.4">
      <c r="A1483" s="111" t="s">
        <v>2153</v>
      </c>
      <c r="B1483" s="112">
        <v>1559654994</v>
      </c>
      <c r="C1483" s="113" t="s">
        <v>2154</v>
      </c>
      <c r="D1483" s="36">
        <v>43299</v>
      </c>
      <c r="H1483" s="22"/>
      <c r="I1483" s="11"/>
      <c r="J1483" s="11"/>
      <c r="K1483" s="11"/>
      <c r="L1483" s="11"/>
    </row>
    <row r="1484" spans="1:17" ht="14.4">
      <c r="A1484" s="6" t="s">
        <v>2155</v>
      </c>
      <c r="B1484" s="7"/>
      <c r="C1484" s="6"/>
      <c r="H1484" s="9"/>
      <c r="I1484" s="11"/>
      <c r="J1484" s="11"/>
      <c r="K1484" s="11"/>
      <c r="L1484" s="11"/>
      <c r="Q1484" s="16">
        <v>45985</v>
      </c>
    </row>
    <row r="1485" spans="1:17" ht="14.4">
      <c r="A1485" s="6" t="s">
        <v>2155</v>
      </c>
      <c r="B1485" s="7"/>
      <c r="C1485" s="7"/>
      <c r="H1485" s="9"/>
      <c r="I1485" s="11"/>
      <c r="J1485" s="11"/>
      <c r="K1485" s="11"/>
      <c r="L1485" s="11"/>
      <c r="Q1485" s="16">
        <v>45833</v>
      </c>
    </row>
    <row r="1486" spans="1:17" ht="14.4">
      <c r="A1486" s="6" t="s">
        <v>2156</v>
      </c>
      <c r="B1486" s="7"/>
      <c r="C1486" s="6"/>
      <c r="H1486" s="9" t="s">
        <v>50</v>
      </c>
      <c r="I1486" s="11"/>
      <c r="J1486" s="11"/>
      <c r="K1486" s="11"/>
      <c r="L1486" s="11"/>
    </row>
    <row r="1487" spans="1:17" ht="14.4">
      <c r="A1487" s="6" t="s">
        <v>2156</v>
      </c>
      <c r="B1487" s="7"/>
      <c r="C1487" s="6"/>
      <c r="H1487" s="9"/>
      <c r="I1487" s="10" t="s">
        <v>51</v>
      </c>
      <c r="J1487" s="11"/>
      <c r="K1487" s="11"/>
      <c r="L1487" s="11"/>
    </row>
    <row r="1488" spans="1:17" ht="14.4">
      <c r="A1488" s="6" t="s">
        <v>2156</v>
      </c>
      <c r="B1488" s="7"/>
      <c r="C1488" s="6"/>
      <c r="H1488" s="9"/>
      <c r="I1488" s="11"/>
      <c r="J1488" s="41">
        <v>45954</v>
      </c>
      <c r="K1488" s="11"/>
      <c r="L1488" s="11"/>
    </row>
    <row r="1489" spans="1:17" ht="14.4">
      <c r="A1489" s="14" t="s">
        <v>2157</v>
      </c>
      <c r="B1489" s="13" t="s">
        <v>2158</v>
      </c>
      <c r="C1489" s="19" t="str">
        <f>HYPERLINK("mailto:silvinamarmo@yahoo.com.ar","silvinamarmo@yahoo.com.ar")</f>
        <v>silvinamarmo@yahoo.com.ar</v>
      </c>
      <c r="D1489" s="14"/>
      <c r="E1489" s="15">
        <v>41671</v>
      </c>
      <c r="F1489" s="14"/>
      <c r="G1489" s="14"/>
      <c r="H1489" s="10"/>
      <c r="I1489" s="10"/>
      <c r="J1489" s="10"/>
      <c r="K1489" s="10"/>
      <c r="L1489" s="10"/>
      <c r="M1489" s="15">
        <v>42064</v>
      </c>
      <c r="N1489" s="14"/>
      <c r="O1489" s="14"/>
    </row>
    <row r="1490" spans="1:17" ht="14.4">
      <c r="A1490" s="6" t="s">
        <v>2159</v>
      </c>
      <c r="B1490" s="7"/>
      <c r="C1490" s="6"/>
      <c r="H1490" s="9"/>
      <c r="I1490" s="11"/>
      <c r="J1490" s="11"/>
      <c r="K1490" s="11"/>
      <c r="L1490" s="11"/>
      <c r="Q1490" s="16">
        <v>45985</v>
      </c>
    </row>
    <row r="1491" spans="1:17" ht="14.4">
      <c r="A1491" s="6" t="s">
        <v>2160</v>
      </c>
      <c r="B1491" s="8">
        <v>1136486603</v>
      </c>
      <c r="C1491" s="7"/>
      <c r="H1491" s="9" t="s">
        <v>123</v>
      </c>
      <c r="I1491" s="10" t="s">
        <v>124</v>
      </c>
      <c r="J1491" s="11"/>
      <c r="K1491" s="11"/>
      <c r="L1491" s="11"/>
    </row>
    <row r="1492" spans="1:17" ht="14.4">
      <c r="A1492" s="13" t="s">
        <v>2161</v>
      </c>
      <c r="B1492" s="13">
        <v>1156931687</v>
      </c>
      <c r="C1492" s="14" t="s">
        <v>2162</v>
      </c>
      <c r="D1492" s="15">
        <v>42186</v>
      </c>
      <c r="E1492" s="14"/>
      <c r="F1492" s="14"/>
      <c r="G1492" s="14"/>
      <c r="H1492" s="10"/>
      <c r="I1492" s="10"/>
      <c r="J1492" s="10"/>
      <c r="K1492" s="10"/>
      <c r="L1492" s="10"/>
      <c r="M1492" s="14"/>
      <c r="N1492" s="14"/>
      <c r="O1492" s="14"/>
    </row>
    <row r="1493" spans="1:17" ht="14.4">
      <c r="A1493" s="14" t="s">
        <v>2163</v>
      </c>
      <c r="B1493" s="10" t="s">
        <v>2164</v>
      </c>
      <c r="C1493" s="10" t="s">
        <v>2165</v>
      </c>
      <c r="D1493" s="39">
        <v>43391</v>
      </c>
      <c r="E1493" s="14"/>
      <c r="F1493" s="14"/>
      <c r="G1493" s="14"/>
      <c r="H1493" s="10"/>
      <c r="I1493" s="11"/>
      <c r="J1493" s="11"/>
      <c r="K1493" s="11"/>
      <c r="L1493" s="11"/>
    </row>
    <row r="1494" spans="1:17" ht="14.4">
      <c r="A1494" s="6" t="s">
        <v>2166</v>
      </c>
      <c r="B1494" s="33">
        <v>1163073082</v>
      </c>
      <c r="C1494" s="6" t="s">
        <v>2167</v>
      </c>
      <c r="D1494" s="14"/>
      <c r="E1494" s="14"/>
      <c r="F1494" s="14"/>
      <c r="G1494" s="6"/>
      <c r="H1494" s="9"/>
      <c r="I1494" s="23" t="s">
        <v>236</v>
      </c>
      <c r="J1494" s="10"/>
      <c r="K1494" s="10" t="s">
        <v>212</v>
      </c>
      <c r="L1494" s="10"/>
    </row>
    <row r="1495" spans="1:17" ht="14.4">
      <c r="A1495" s="14" t="s">
        <v>2168</v>
      </c>
      <c r="B1495" s="14"/>
      <c r="C1495" s="19" t="str">
        <f>HYPERLINK("mailto:siomara_rodriguez@hotmail.com","siomara_rodriguez@hotmail.com")</f>
        <v>siomara_rodriguez@hotmail.com</v>
      </c>
      <c r="D1495" s="14"/>
      <c r="E1495" s="15">
        <v>41671</v>
      </c>
      <c r="F1495" s="14"/>
      <c r="G1495" s="14"/>
      <c r="H1495" s="10"/>
      <c r="I1495" s="10"/>
      <c r="J1495" s="10"/>
      <c r="K1495" s="10"/>
      <c r="L1495" s="10"/>
      <c r="M1495" s="14"/>
      <c r="N1495" s="14"/>
      <c r="O1495" s="14"/>
    </row>
    <row r="1496" spans="1:17" ht="14.4">
      <c r="A1496" s="6" t="s">
        <v>2169</v>
      </c>
      <c r="B1496" s="6" t="s">
        <v>103</v>
      </c>
      <c r="C1496" s="6" t="s">
        <v>2170</v>
      </c>
      <c r="H1496" s="40">
        <v>45252</v>
      </c>
      <c r="I1496" s="11"/>
      <c r="J1496" s="11"/>
      <c r="K1496" s="11"/>
      <c r="L1496" s="11"/>
    </row>
    <row r="1497" spans="1:17" ht="14.4">
      <c r="A1497" s="6" t="s">
        <v>2171</v>
      </c>
      <c r="B1497" s="7"/>
      <c r="C1497" s="7"/>
      <c r="H1497" s="9" t="s">
        <v>65</v>
      </c>
      <c r="I1497" s="11"/>
      <c r="J1497" s="11"/>
      <c r="K1497" s="11"/>
      <c r="L1497" s="11"/>
    </row>
    <row r="1498" spans="1:17" ht="14.4">
      <c r="A1498" s="6" t="s">
        <v>2172</v>
      </c>
      <c r="B1498" s="7"/>
      <c r="C1498" s="6"/>
      <c r="H1498" s="42">
        <v>45954</v>
      </c>
      <c r="I1498" s="11"/>
      <c r="J1498" s="11"/>
      <c r="K1498" s="11"/>
      <c r="L1498" s="11"/>
    </row>
    <row r="1499" spans="1:17" ht="14.4">
      <c r="A1499" s="13" t="s">
        <v>2173</v>
      </c>
      <c r="B1499" s="13">
        <v>1538267670</v>
      </c>
      <c r="C1499" s="46" t="str">
        <f>HYPERLINK("mailto:sofiaeyheragaray@gmail.com","sofiaeyheragaray@gmail.com")</f>
        <v>sofiaeyheragaray@gmail.com</v>
      </c>
      <c r="D1499" s="15">
        <v>41518</v>
      </c>
      <c r="E1499" s="14"/>
      <c r="F1499" s="14"/>
      <c r="G1499" s="14"/>
      <c r="H1499" s="10"/>
      <c r="I1499" s="10"/>
      <c r="J1499" s="10"/>
      <c r="K1499" s="10"/>
      <c r="L1499" s="10"/>
      <c r="M1499" s="14"/>
      <c r="N1499" s="14"/>
      <c r="O1499" s="14"/>
    </row>
    <row r="1500" spans="1:17" ht="14.4">
      <c r="A1500" s="14" t="s">
        <v>2174</v>
      </c>
      <c r="B1500" s="14"/>
      <c r="C1500" s="19" t="str">
        <f>HYPERLINK("mailto:sofiamagalifernandez@gmail.com","sofiamagalifernandez@gmail.com")</f>
        <v>sofiamagalifernandez@gmail.com</v>
      </c>
      <c r="D1500" s="14"/>
      <c r="E1500" s="15">
        <v>41306</v>
      </c>
      <c r="F1500" s="14"/>
      <c r="G1500" s="14"/>
      <c r="H1500" s="10"/>
      <c r="I1500" s="10"/>
      <c r="J1500" s="10"/>
      <c r="K1500" s="10"/>
      <c r="L1500" s="10"/>
      <c r="M1500" s="14"/>
      <c r="N1500" s="14"/>
      <c r="O1500" s="14"/>
    </row>
    <row r="1501" spans="1:17" ht="14.4">
      <c r="A1501" s="6" t="s">
        <v>2175</v>
      </c>
      <c r="B1501" s="7"/>
      <c r="C1501" s="7"/>
      <c r="H1501" s="9" t="s">
        <v>82</v>
      </c>
      <c r="I1501" s="11"/>
      <c r="J1501" s="11"/>
      <c r="K1501" s="11"/>
      <c r="L1501" s="11"/>
    </row>
    <row r="1502" spans="1:17" ht="14.4">
      <c r="A1502" s="9" t="s">
        <v>2175</v>
      </c>
      <c r="B1502" s="7"/>
      <c r="C1502" s="7"/>
      <c r="H1502" s="9"/>
      <c r="I1502" s="35">
        <v>45713</v>
      </c>
      <c r="J1502" s="11"/>
      <c r="K1502" s="11"/>
      <c r="L1502" s="11"/>
    </row>
    <row r="1503" spans="1:17" ht="14.4">
      <c r="A1503" s="6" t="s">
        <v>2176</v>
      </c>
      <c r="B1503" s="7"/>
      <c r="C1503" s="6"/>
      <c r="H1503" s="9" t="s">
        <v>49</v>
      </c>
      <c r="I1503" s="11"/>
      <c r="J1503" s="11"/>
      <c r="K1503" s="11"/>
      <c r="L1503" s="11"/>
    </row>
    <row r="1504" spans="1:17" ht="14.4">
      <c r="A1504" s="14" t="s">
        <v>2177</v>
      </c>
      <c r="B1504" s="14" t="s">
        <v>2178</v>
      </c>
      <c r="C1504" s="14" t="s">
        <v>2179</v>
      </c>
      <c r="D1504" s="15">
        <v>41091</v>
      </c>
      <c r="E1504" s="14"/>
      <c r="F1504" s="14"/>
      <c r="G1504" s="14"/>
      <c r="H1504" s="10"/>
      <c r="I1504" s="10"/>
      <c r="J1504" s="10"/>
      <c r="K1504" s="10"/>
      <c r="L1504" s="10"/>
      <c r="M1504" s="14"/>
      <c r="N1504" s="14"/>
      <c r="O1504" s="14"/>
    </row>
    <row r="1505" spans="1:16" ht="14.4">
      <c r="A1505" s="6" t="s">
        <v>2180</v>
      </c>
      <c r="B1505" s="7"/>
      <c r="C1505" s="7"/>
      <c r="H1505" s="9" t="s">
        <v>23</v>
      </c>
      <c r="I1505" s="11"/>
      <c r="J1505" s="11"/>
      <c r="K1505" s="11"/>
      <c r="L1505" s="11"/>
    </row>
    <row r="1506" spans="1:16" ht="14.4">
      <c r="A1506" s="6" t="s">
        <v>2180</v>
      </c>
      <c r="B1506" s="7"/>
      <c r="C1506" s="7"/>
      <c r="H1506" s="9"/>
      <c r="I1506" s="11" t="s">
        <v>24</v>
      </c>
      <c r="J1506" s="11"/>
      <c r="K1506" s="11"/>
      <c r="L1506" s="11"/>
    </row>
    <row r="1507" spans="1:16" ht="14.4">
      <c r="A1507" s="6" t="s">
        <v>2181</v>
      </c>
      <c r="B1507" s="7"/>
      <c r="C1507" s="7"/>
      <c r="H1507" s="9"/>
      <c r="I1507" s="10" t="s">
        <v>20</v>
      </c>
      <c r="J1507" s="11"/>
      <c r="K1507" s="11"/>
      <c r="L1507" s="11"/>
    </row>
    <row r="1508" spans="1:16" ht="14.4">
      <c r="A1508" s="6" t="s">
        <v>2182</v>
      </c>
      <c r="B1508" s="8">
        <v>1126177353</v>
      </c>
      <c r="C1508" s="6" t="s">
        <v>2183</v>
      </c>
      <c r="H1508" s="69" t="s">
        <v>269</v>
      </c>
      <c r="I1508" s="11"/>
      <c r="J1508" s="11"/>
      <c r="K1508" s="11"/>
      <c r="L1508" s="11"/>
    </row>
    <row r="1509" spans="1:16" ht="14.4">
      <c r="A1509" s="14" t="s">
        <v>2184</v>
      </c>
      <c r="B1509" s="14" t="s">
        <v>2185</v>
      </c>
      <c r="C1509" s="14" t="s">
        <v>2186</v>
      </c>
      <c r="D1509" s="15">
        <v>42095</v>
      </c>
      <c r="E1509" s="14"/>
      <c r="F1509" s="14"/>
      <c r="G1509" s="14"/>
      <c r="H1509" s="10"/>
      <c r="I1509" s="10"/>
      <c r="J1509" s="10"/>
      <c r="K1509" s="10"/>
      <c r="L1509" s="10"/>
      <c r="M1509" s="14"/>
      <c r="N1509" s="14"/>
      <c r="O1509" s="14"/>
    </row>
    <row r="1510" spans="1:16" ht="14.4">
      <c r="A1510" s="6" t="s">
        <v>2187</v>
      </c>
      <c r="B1510" s="7"/>
      <c r="C1510" s="6" t="s">
        <v>2188</v>
      </c>
      <c r="H1510" s="9" t="s">
        <v>159</v>
      </c>
      <c r="I1510" s="11"/>
      <c r="J1510" s="11"/>
      <c r="K1510" s="11"/>
      <c r="L1510" s="11"/>
    </row>
    <row r="1511" spans="1:16" ht="14.4">
      <c r="A1511" s="7" t="s">
        <v>2187</v>
      </c>
      <c r="B1511" s="7"/>
      <c r="C1511" s="7" t="s">
        <v>2188</v>
      </c>
      <c r="H1511" s="9" t="s">
        <v>75</v>
      </c>
      <c r="I1511" s="11"/>
      <c r="J1511" s="11"/>
      <c r="K1511" s="11"/>
      <c r="L1511" s="11"/>
    </row>
    <row r="1512" spans="1:16" ht="14.4">
      <c r="A1512" s="6" t="s">
        <v>2189</v>
      </c>
      <c r="B1512" s="7"/>
      <c r="C1512" s="6" t="s">
        <v>2190</v>
      </c>
      <c r="H1512" s="17" t="s">
        <v>19</v>
      </c>
      <c r="I1512" s="11"/>
      <c r="J1512" s="11"/>
      <c r="K1512" s="11"/>
      <c r="L1512" s="11"/>
    </row>
    <row r="1513" spans="1:16" ht="14.4">
      <c r="A1513" s="14" t="s">
        <v>2191</v>
      </c>
      <c r="B1513" s="14"/>
      <c r="C1513" s="14" t="s">
        <v>2192</v>
      </c>
      <c r="D1513" s="14"/>
      <c r="E1513" s="15">
        <v>41640</v>
      </c>
      <c r="F1513" s="14"/>
      <c r="G1513" s="14"/>
      <c r="H1513" s="10"/>
      <c r="I1513" s="10"/>
      <c r="J1513" s="10"/>
      <c r="K1513" s="10"/>
      <c r="L1513" s="10"/>
      <c r="M1513" s="14"/>
      <c r="N1513" s="14"/>
      <c r="O1513" s="14"/>
    </row>
    <row r="1514" spans="1:16" ht="14.4">
      <c r="A1514" s="6" t="s">
        <v>2193</v>
      </c>
      <c r="B1514" s="7"/>
      <c r="C1514" s="7"/>
      <c r="H1514" s="9"/>
      <c r="I1514" s="11"/>
      <c r="J1514" s="11"/>
      <c r="K1514" s="11"/>
      <c r="L1514" s="11"/>
      <c r="P1514" s="6" t="s">
        <v>68</v>
      </c>
    </row>
    <row r="1515" spans="1:16" ht="14.4">
      <c r="A1515" s="14" t="s">
        <v>2194</v>
      </c>
      <c r="B1515" s="13">
        <v>1541877463</v>
      </c>
      <c r="C1515" s="14" t="s">
        <v>2195</v>
      </c>
      <c r="D1515" s="14"/>
      <c r="E1515" s="14"/>
      <c r="F1515" s="21" t="s">
        <v>135</v>
      </c>
      <c r="G1515" s="14"/>
      <c r="H1515" s="114">
        <v>43238</v>
      </c>
      <c r="I1515" s="10"/>
      <c r="J1515" s="10"/>
      <c r="K1515" s="10"/>
      <c r="L1515" s="10"/>
      <c r="M1515" s="14"/>
      <c r="N1515" s="14"/>
      <c r="O1515" s="14"/>
    </row>
    <row r="1516" spans="1:16" ht="14.4">
      <c r="A1516" s="6" t="s">
        <v>2196</v>
      </c>
      <c r="B1516" s="7"/>
      <c r="C1516" s="6"/>
      <c r="H1516" s="9" t="s">
        <v>51</v>
      </c>
      <c r="I1516" s="11"/>
      <c r="J1516" s="11"/>
      <c r="K1516" s="11"/>
      <c r="L1516" s="11"/>
    </row>
    <row r="1517" spans="1:16" ht="14.4">
      <c r="A1517" s="6" t="s">
        <v>2196</v>
      </c>
      <c r="B1517" s="7"/>
      <c r="C1517" s="6"/>
      <c r="H1517" s="9"/>
      <c r="I1517" s="41">
        <v>45954</v>
      </c>
      <c r="J1517" s="11"/>
      <c r="K1517" s="11"/>
      <c r="L1517" s="11"/>
    </row>
    <row r="1518" spans="1:16" ht="14.4">
      <c r="A1518" s="6" t="s">
        <v>2196</v>
      </c>
      <c r="B1518" s="7"/>
      <c r="C1518" s="6"/>
      <c r="H1518" s="9"/>
      <c r="I1518" s="11"/>
      <c r="J1518" s="41">
        <v>45985</v>
      </c>
      <c r="K1518" s="11"/>
      <c r="L1518" s="11"/>
    </row>
    <row r="1519" spans="1:16" ht="14.4">
      <c r="A1519" s="6" t="s">
        <v>2197</v>
      </c>
      <c r="B1519" s="7"/>
      <c r="C1519" s="6"/>
      <c r="H1519" s="9" t="s">
        <v>29</v>
      </c>
      <c r="I1519" s="11"/>
      <c r="J1519" s="11"/>
      <c r="K1519" s="11"/>
      <c r="L1519" s="11"/>
    </row>
    <row r="1520" spans="1:16" ht="14.4">
      <c r="A1520" s="6" t="s">
        <v>2197</v>
      </c>
      <c r="B1520" s="7"/>
      <c r="C1520" s="6"/>
      <c r="H1520" s="9"/>
      <c r="I1520" s="10" t="s">
        <v>30</v>
      </c>
      <c r="J1520" s="11"/>
      <c r="K1520" s="11"/>
      <c r="L1520" s="11"/>
    </row>
    <row r="1521" spans="1:16" ht="14.4">
      <c r="A1521" s="6" t="s">
        <v>2197</v>
      </c>
      <c r="B1521" s="7"/>
      <c r="C1521" s="6"/>
      <c r="H1521" s="9"/>
      <c r="I1521" s="11"/>
      <c r="J1521" s="10" t="s">
        <v>31</v>
      </c>
      <c r="K1521" s="11"/>
      <c r="L1521" s="11"/>
    </row>
    <row r="1522" spans="1:16" ht="14.4">
      <c r="A1522" s="6" t="s">
        <v>2198</v>
      </c>
      <c r="B1522" s="7"/>
      <c r="C1522" s="6"/>
      <c r="H1522" s="9"/>
      <c r="I1522" s="11"/>
      <c r="J1522" s="11"/>
      <c r="K1522" s="11"/>
      <c r="L1522" s="11"/>
      <c r="P1522" s="7" t="s">
        <v>49</v>
      </c>
    </row>
    <row r="1523" spans="1:16" ht="14.4">
      <c r="A1523" s="6" t="s">
        <v>2199</v>
      </c>
      <c r="B1523" s="27">
        <v>1550991450</v>
      </c>
      <c r="C1523" s="115" t="s">
        <v>2200</v>
      </c>
      <c r="E1523" s="21" t="s">
        <v>132</v>
      </c>
      <c r="H1523" s="22"/>
      <c r="I1523" s="11"/>
      <c r="J1523" s="11"/>
      <c r="K1523" s="11"/>
      <c r="L1523" s="11"/>
    </row>
    <row r="1524" spans="1:16" ht="14.4">
      <c r="A1524" s="6" t="s">
        <v>2201</v>
      </c>
      <c r="B1524" s="7"/>
      <c r="C1524" s="6"/>
      <c r="H1524" s="9" t="s">
        <v>49</v>
      </c>
      <c r="I1524" s="10" t="s">
        <v>50</v>
      </c>
      <c r="J1524" s="11"/>
      <c r="K1524" s="11"/>
      <c r="L1524" s="11"/>
    </row>
    <row r="1525" spans="1:16" ht="14.4">
      <c r="A1525" s="6" t="s">
        <v>2201</v>
      </c>
      <c r="B1525" s="7"/>
      <c r="C1525" s="6"/>
      <c r="H1525" s="9"/>
      <c r="I1525" s="11"/>
      <c r="J1525" s="10" t="s">
        <v>51</v>
      </c>
      <c r="K1525" s="11"/>
      <c r="L1525" s="11"/>
    </row>
    <row r="1526" spans="1:16" ht="14.4">
      <c r="A1526" s="6" t="s">
        <v>2202</v>
      </c>
      <c r="B1526" s="14"/>
      <c r="C1526" s="14" t="s">
        <v>2203</v>
      </c>
      <c r="D1526" s="14"/>
      <c r="E1526" s="14"/>
      <c r="F1526" s="14"/>
      <c r="G1526" s="6"/>
      <c r="H1526" s="9" t="s">
        <v>54</v>
      </c>
      <c r="I1526" s="10"/>
      <c r="J1526" s="10"/>
      <c r="K1526" s="10"/>
      <c r="L1526" s="10"/>
    </row>
    <row r="1527" spans="1:16" ht="14.4">
      <c r="A1527" s="6" t="s">
        <v>2204</v>
      </c>
      <c r="B1527" s="7"/>
      <c r="C1527" s="7"/>
      <c r="H1527" s="9" t="s">
        <v>23</v>
      </c>
      <c r="I1527" s="11"/>
      <c r="J1527" s="11"/>
      <c r="K1527" s="11"/>
      <c r="L1527" s="11"/>
    </row>
    <row r="1528" spans="1:16" ht="14.4">
      <c r="A1528" s="9" t="s">
        <v>2204</v>
      </c>
      <c r="B1528" s="7"/>
      <c r="C1528" s="7"/>
      <c r="H1528" s="9"/>
      <c r="I1528" s="11" t="s">
        <v>24</v>
      </c>
      <c r="J1528" s="11"/>
      <c r="K1528" s="11"/>
      <c r="L1528" s="11"/>
    </row>
    <row r="1529" spans="1:16" ht="14.4">
      <c r="A1529" s="6" t="s">
        <v>2205</v>
      </c>
      <c r="B1529" s="7"/>
      <c r="C1529" s="6" t="s">
        <v>2206</v>
      </c>
      <c r="H1529" s="9" t="s">
        <v>159</v>
      </c>
      <c r="I1529" s="11"/>
      <c r="J1529" s="11"/>
      <c r="K1529" s="11"/>
      <c r="L1529" s="11"/>
    </row>
    <row r="1530" spans="1:16" ht="14.4">
      <c r="A1530" s="6" t="s">
        <v>2207</v>
      </c>
      <c r="B1530" s="6"/>
      <c r="C1530" s="6" t="s">
        <v>2208</v>
      </c>
      <c r="H1530" s="40">
        <v>45252</v>
      </c>
      <c r="I1530" s="11" t="s">
        <v>101</v>
      </c>
      <c r="J1530" s="11"/>
      <c r="K1530" s="11"/>
      <c r="L1530" s="11"/>
    </row>
    <row r="1531" spans="1:16" ht="14.4">
      <c r="A1531" s="6" t="s">
        <v>2207</v>
      </c>
      <c r="B1531" s="6"/>
      <c r="C1531" s="6" t="s">
        <v>2208</v>
      </c>
      <c r="H1531" s="9"/>
      <c r="I1531" s="9" t="s">
        <v>109</v>
      </c>
      <c r="J1531" s="11"/>
      <c r="K1531" s="11"/>
      <c r="L1531" s="11"/>
    </row>
    <row r="1532" spans="1:16" ht="14.4">
      <c r="A1532" s="6" t="s">
        <v>2207</v>
      </c>
      <c r="B1532" s="6"/>
      <c r="C1532" s="6" t="s">
        <v>2208</v>
      </c>
      <c r="H1532" s="9"/>
      <c r="I1532" s="11"/>
      <c r="J1532" s="11"/>
      <c r="K1532" s="11" t="s">
        <v>159</v>
      </c>
      <c r="L1532" s="11"/>
    </row>
    <row r="1533" spans="1:16" ht="14.4">
      <c r="A1533" s="6" t="s">
        <v>2207</v>
      </c>
      <c r="B1533" s="7"/>
      <c r="C1533" s="6" t="s">
        <v>2208</v>
      </c>
      <c r="H1533" s="9"/>
      <c r="I1533" s="11"/>
      <c r="J1533" s="11"/>
      <c r="K1533" s="11"/>
      <c r="L1533" s="11"/>
      <c r="P1533" s="26" t="s">
        <v>75</v>
      </c>
    </row>
    <row r="1534" spans="1:16" ht="14.4">
      <c r="A1534" s="6" t="s">
        <v>2207</v>
      </c>
      <c r="B1534" s="7"/>
      <c r="C1534" s="7"/>
      <c r="D1534" s="8">
        <v>14300</v>
      </c>
      <c r="H1534" s="9"/>
      <c r="I1534" s="11"/>
      <c r="J1534" s="11"/>
      <c r="K1534" s="11"/>
      <c r="L1534" s="41">
        <v>45253</v>
      </c>
    </row>
    <row r="1535" spans="1:16" ht="14.4">
      <c r="A1535" s="6" t="s">
        <v>2209</v>
      </c>
      <c r="B1535" s="7"/>
      <c r="C1535" s="6"/>
      <c r="H1535" s="9" t="s">
        <v>50</v>
      </c>
      <c r="I1535" s="11"/>
      <c r="J1535" s="11"/>
      <c r="K1535" s="11"/>
      <c r="L1535" s="11"/>
    </row>
    <row r="1536" spans="1:16" ht="14.4">
      <c r="A1536" s="6" t="s">
        <v>2209</v>
      </c>
      <c r="B1536" s="7"/>
      <c r="C1536" s="6"/>
      <c r="H1536" s="9"/>
      <c r="I1536" s="10" t="s">
        <v>51</v>
      </c>
      <c r="J1536" s="11"/>
      <c r="K1536" s="11"/>
      <c r="L1536" s="11"/>
    </row>
    <row r="1537" spans="1:17" ht="14.4">
      <c r="A1537" s="6" t="s">
        <v>2209</v>
      </c>
      <c r="B1537" s="7"/>
      <c r="C1537" s="6"/>
      <c r="H1537" s="9"/>
      <c r="I1537" s="11"/>
      <c r="J1537" s="41">
        <v>45954</v>
      </c>
      <c r="K1537" s="11"/>
      <c r="L1537" s="11"/>
    </row>
    <row r="1538" spans="1:17" ht="14.4">
      <c r="A1538" s="6" t="s">
        <v>2209</v>
      </c>
      <c r="B1538" s="7"/>
      <c r="C1538" s="7"/>
      <c r="H1538" s="9"/>
      <c r="I1538" s="11"/>
      <c r="J1538" s="11"/>
      <c r="K1538" s="11" t="s">
        <v>22</v>
      </c>
      <c r="L1538" s="11"/>
    </row>
    <row r="1539" spans="1:17" ht="14.4">
      <c r="A1539" s="6" t="s">
        <v>2210</v>
      </c>
      <c r="B1539" s="32">
        <v>1161408216</v>
      </c>
      <c r="C1539" s="7" t="s">
        <v>2211</v>
      </c>
      <c r="H1539" s="9" t="s">
        <v>260</v>
      </c>
      <c r="I1539" s="10" t="s">
        <v>268</v>
      </c>
      <c r="J1539" s="11"/>
      <c r="K1539" s="10" t="s">
        <v>74</v>
      </c>
      <c r="L1539" s="11"/>
      <c r="P1539" s="12" t="s">
        <v>194</v>
      </c>
    </row>
    <row r="1540" spans="1:17" ht="14.4">
      <c r="A1540" s="6" t="s">
        <v>2210</v>
      </c>
      <c r="B1540" s="7"/>
      <c r="C1540" s="7"/>
      <c r="H1540" s="9"/>
      <c r="I1540" s="11"/>
      <c r="J1540" s="11"/>
      <c r="K1540" s="11"/>
      <c r="L1540" s="11"/>
      <c r="P1540" s="26" t="s">
        <v>75</v>
      </c>
    </row>
    <row r="1541" spans="1:17" ht="14.4">
      <c r="A1541" s="6" t="s">
        <v>2210</v>
      </c>
      <c r="B1541" s="7"/>
      <c r="C1541" s="6"/>
      <c r="H1541" s="9"/>
      <c r="I1541" s="11"/>
      <c r="J1541" s="11"/>
      <c r="K1541" s="11"/>
      <c r="L1541" s="11"/>
      <c r="Q1541" s="16">
        <v>45985</v>
      </c>
    </row>
    <row r="1542" spans="1:17" ht="14.4">
      <c r="A1542" s="6" t="s">
        <v>2210</v>
      </c>
      <c r="B1542" s="7"/>
      <c r="C1542" s="6"/>
      <c r="H1542" s="9"/>
      <c r="I1542" s="11"/>
      <c r="J1542" s="11" t="s">
        <v>82</v>
      </c>
      <c r="K1542" s="11"/>
      <c r="L1542" s="11"/>
    </row>
    <row r="1543" spans="1:17" ht="14.4">
      <c r="A1543" s="6" t="s">
        <v>2212</v>
      </c>
      <c r="B1543" s="17">
        <v>1562563296</v>
      </c>
      <c r="C1543" s="17" t="s">
        <v>2213</v>
      </c>
      <c r="E1543" s="21" t="s">
        <v>132</v>
      </c>
      <c r="H1543" s="22"/>
      <c r="I1543" s="11"/>
      <c r="J1543" s="11"/>
      <c r="K1543" s="11"/>
      <c r="L1543" s="11"/>
    </row>
    <row r="1544" spans="1:17" ht="14.4">
      <c r="A1544" s="14" t="s">
        <v>2214</v>
      </c>
      <c r="B1544" s="14" t="s">
        <v>2215</v>
      </c>
      <c r="C1544" s="14" t="s">
        <v>2216</v>
      </c>
      <c r="D1544" s="14"/>
      <c r="E1544" s="14"/>
      <c r="F1544" s="15">
        <v>41426</v>
      </c>
      <c r="G1544" s="15">
        <v>41760</v>
      </c>
      <c r="H1544" s="10"/>
      <c r="I1544" s="10"/>
      <c r="J1544" s="10"/>
      <c r="K1544" s="10"/>
      <c r="L1544" s="10"/>
      <c r="M1544" s="14"/>
      <c r="N1544" s="14"/>
      <c r="O1544" s="14"/>
    </row>
    <row r="1545" spans="1:17" ht="14.4">
      <c r="A1545" s="6" t="s">
        <v>2217</v>
      </c>
      <c r="B1545" s="8">
        <v>1157685176</v>
      </c>
      <c r="C1545" s="6" t="s">
        <v>2218</v>
      </c>
      <c r="H1545" s="9" t="s">
        <v>94</v>
      </c>
      <c r="I1545" s="9" t="s">
        <v>123</v>
      </c>
      <c r="J1545" s="11"/>
      <c r="K1545" s="11"/>
      <c r="L1545" s="11"/>
    </row>
    <row r="1546" spans="1:17" ht="14.4">
      <c r="A1546" s="6" t="s">
        <v>2217</v>
      </c>
      <c r="B1546" s="7"/>
      <c r="C1546" s="6"/>
      <c r="H1546" s="9" t="s">
        <v>94</v>
      </c>
      <c r="I1546" s="11"/>
      <c r="J1546" s="11"/>
      <c r="K1546" s="11"/>
      <c r="L1546" s="11"/>
    </row>
    <row r="1547" spans="1:17" ht="14.4">
      <c r="A1547" s="14" t="s">
        <v>2219</v>
      </c>
      <c r="B1547" s="13">
        <v>1135161860</v>
      </c>
      <c r="C1547" s="14" t="s">
        <v>2220</v>
      </c>
      <c r="D1547" s="14"/>
      <c r="E1547" s="49">
        <v>42903</v>
      </c>
      <c r="F1547" s="14"/>
      <c r="G1547" s="14"/>
      <c r="H1547" s="23" t="s">
        <v>742</v>
      </c>
      <c r="I1547" s="10"/>
      <c r="J1547" s="10"/>
      <c r="K1547" s="10"/>
      <c r="L1547" s="10"/>
      <c r="M1547" s="14"/>
      <c r="N1547" s="14"/>
      <c r="O1547" s="14"/>
    </row>
    <row r="1548" spans="1:17" ht="14.4">
      <c r="A1548" s="25" t="s">
        <v>2221</v>
      </c>
      <c r="B1548" s="26">
        <v>1532672188</v>
      </c>
      <c r="C1548" s="26" t="s">
        <v>2222</v>
      </c>
      <c r="E1548" s="39">
        <v>43149</v>
      </c>
      <c r="H1548" s="22"/>
      <c r="I1548" s="11"/>
      <c r="J1548" s="11"/>
      <c r="K1548" s="11"/>
      <c r="L1548" s="11"/>
    </row>
    <row r="1549" spans="1:17" ht="14.4">
      <c r="A1549" s="6" t="s">
        <v>2223</v>
      </c>
      <c r="B1549" s="7"/>
      <c r="C1549" s="6"/>
      <c r="H1549" s="9" t="s">
        <v>51</v>
      </c>
      <c r="I1549" s="11"/>
      <c r="J1549" s="11"/>
      <c r="K1549" s="11"/>
      <c r="L1549" s="11"/>
    </row>
    <row r="1550" spans="1:17" ht="14.4">
      <c r="A1550" s="6" t="s">
        <v>2223</v>
      </c>
      <c r="B1550" s="7"/>
      <c r="C1550" s="6"/>
      <c r="H1550" s="9"/>
      <c r="I1550" s="41">
        <v>45954</v>
      </c>
      <c r="J1550" s="11"/>
      <c r="K1550" s="11"/>
      <c r="L1550" s="11"/>
    </row>
    <row r="1551" spans="1:17" ht="14.4">
      <c r="A1551" s="6" t="s">
        <v>2223</v>
      </c>
      <c r="B1551" s="7"/>
      <c r="C1551" s="6"/>
      <c r="H1551" s="9"/>
      <c r="I1551" s="11"/>
      <c r="J1551" s="41">
        <v>45985</v>
      </c>
      <c r="K1551" s="11"/>
      <c r="L1551" s="11"/>
    </row>
    <row r="1552" spans="1:17" ht="14.4">
      <c r="A1552" s="6" t="s">
        <v>2224</v>
      </c>
      <c r="B1552" s="7"/>
      <c r="C1552" s="6"/>
      <c r="H1552" s="9" t="s">
        <v>49</v>
      </c>
      <c r="I1552" s="11"/>
      <c r="J1552" s="11"/>
      <c r="K1552" s="11"/>
      <c r="L1552" s="11"/>
    </row>
    <row r="1553" spans="1:17" ht="14.4">
      <c r="A1553" s="6" t="s">
        <v>2225</v>
      </c>
      <c r="B1553" s="7"/>
      <c r="C1553" s="6"/>
      <c r="H1553" s="9" t="s">
        <v>30</v>
      </c>
      <c r="I1553" s="10" t="s">
        <v>31</v>
      </c>
      <c r="J1553" s="11"/>
      <c r="K1553" s="11"/>
      <c r="L1553" s="11"/>
    </row>
    <row r="1554" spans="1:17" ht="14.4">
      <c r="A1554" s="6" t="s">
        <v>2226</v>
      </c>
      <c r="B1554" s="7"/>
      <c r="C1554" s="6"/>
      <c r="H1554" s="42">
        <v>45954</v>
      </c>
      <c r="I1554" s="11"/>
      <c r="J1554" s="11"/>
      <c r="K1554" s="11"/>
      <c r="L1554" s="11"/>
    </row>
    <row r="1555" spans="1:17" ht="14.4">
      <c r="A1555" s="6" t="s">
        <v>2226</v>
      </c>
      <c r="B1555" s="7"/>
      <c r="C1555" s="6"/>
      <c r="H1555" s="9"/>
      <c r="I1555" s="41">
        <v>45985</v>
      </c>
      <c r="J1555" s="11"/>
      <c r="K1555" s="11"/>
      <c r="L1555" s="11"/>
    </row>
    <row r="1556" spans="1:17" ht="14.4">
      <c r="A1556" s="6" t="s">
        <v>2226</v>
      </c>
      <c r="B1556" s="7"/>
      <c r="C1556" s="6"/>
      <c r="H1556" s="9"/>
      <c r="I1556" s="11"/>
      <c r="J1556" s="11" t="s">
        <v>82</v>
      </c>
      <c r="K1556" s="11"/>
      <c r="L1556" s="11"/>
    </row>
    <row r="1557" spans="1:17" ht="14.4">
      <c r="A1557" s="6" t="s">
        <v>2227</v>
      </c>
      <c r="B1557" s="7"/>
      <c r="C1557" s="7"/>
      <c r="H1557" s="9" t="s">
        <v>65</v>
      </c>
      <c r="I1557" s="11"/>
      <c r="J1557" s="11"/>
      <c r="K1557" s="11"/>
      <c r="L1557" s="11"/>
    </row>
    <row r="1558" spans="1:17" ht="14.4">
      <c r="A1558" s="6" t="s">
        <v>2227</v>
      </c>
      <c r="B1558" s="7"/>
      <c r="C1558" s="7"/>
      <c r="H1558" s="9"/>
      <c r="I1558" s="11" t="s">
        <v>22</v>
      </c>
      <c r="J1558" s="11"/>
      <c r="K1558" s="11"/>
      <c r="L1558" s="11"/>
    </row>
    <row r="1559" spans="1:17" ht="14.4">
      <c r="A1559" s="9" t="s">
        <v>2227</v>
      </c>
      <c r="B1559" s="7"/>
      <c r="C1559" s="7"/>
      <c r="H1559" s="9"/>
      <c r="I1559" s="11"/>
      <c r="J1559" s="11" t="s">
        <v>24</v>
      </c>
      <c r="K1559" s="11"/>
      <c r="L1559" s="11"/>
    </row>
    <row r="1560" spans="1:17" ht="14.4">
      <c r="A1560" s="6" t="s">
        <v>2228</v>
      </c>
      <c r="B1560" s="27" t="s">
        <v>2229</v>
      </c>
      <c r="C1560" s="17" t="s">
        <v>2230</v>
      </c>
      <c r="E1560" s="21" t="s">
        <v>372</v>
      </c>
      <c r="H1560" s="22"/>
      <c r="I1560" s="11"/>
      <c r="J1560" s="11"/>
      <c r="K1560" s="11"/>
      <c r="L1560" s="11"/>
    </row>
    <row r="1561" spans="1:17" ht="14.4">
      <c r="A1561" s="6" t="s">
        <v>2231</v>
      </c>
      <c r="B1561" s="7"/>
      <c r="C1561" s="6"/>
      <c r="H1561" s="9" t="s">
        <v>49</v>
      </c>
      <c r="I1561" s="10" t="s">
        <v>50</v>
      </c>
      <c r="J1561" s="11"/>
      <c r="K1561" s="11"/>
      <c r="L1561" s="11"/>
    </row>
    <row r="1562" spans="1:17" ht="14.4">
      <c r="A1562" s="13" t="s">
        <v>2232</v>
      </c>
      <c r="B1562" s="13" t="s">
        <v>2233</v>
      </c>
      <c r="C1562" s="46" t="str">
        <f>HYPERLINK("mailto:valalvis@hotmail.com","valalvis@hotmail.com")</f>
        <v>valalvis@hotmail.com</v>
      </c>
      <c r="D1562" s="14"/>
      <c r="E1562" s="15">
        <v>41913</v>
      </c>
      <c r="F1562" s="14"/>
      <c r="G1562" s="14"/>
      <c r="H1562" s="10"/>
      <c r="I1562" s="10"/>
      <c r="J1562" s="10"/>
      <c r="K1562" s="10"/>
      <c r="L1562" s="10"/>
      <c r="M1562" s="14"/>
      <c r="N1562" s="14"/>
      <c r="O1562" s="14"/>
    </row>
    <row r="1563" spans="1:17" ht="14.4">
      <c r="A1563" s="13" t="s">
        <v>2234</v>
      </c>
      <c r="B1563" s="13">
        <v>1536323404</v>
      </c>
      <c r="C1563" s="13" t="s">
        <v>2235</v>
      </c>
      <c r="D1563" s="14"/>
      <c r="E1563" s="15">
        <v>42005</v>
      </c>
      <c r="F1563" s="14"/>
      <c r="G1563" s="14"/>
      <c r="H1563" s="10"/>
      <c r="I1563" s="10"/>
      <c r="J1563" s="10"/>
      <c r="K1563" s="10"/>
      <c r="L1563" s="10"/>
      <c r="M1563" s="14"/>
      <c r="N1563" s="14"/>
      <c r="O1563" s="14"/>
    </row>
    <row r="1564" spans="1:17" ht="14.4">
      <c r="A1564" s="6" t="s">
        <v>2234</v>
      </c>
      <c r="B1564" s="7"/>
      <c r="C1564" s="6"/>
      <c r="H1564" s="9"/>
      <c r="I1564" s="11"/>
      <c r="J1564" s="11"/>
      <c r="K1564" s="11"/>
      <c r="L1564" s="10" t="s">
        <v>124</v>
      </c>
    </row>
    <row r="1565" spans="1:17" ht="14.4">
      <c r="A1565" s="6" t="s">
        <v>2234</v>
      </c>
      <c r="B1565" s="7"/>
      <c r="C1565" s="6"/>
      <c r="H1565" s="42">
        <v>45954</v>
      </c>
      <c r="I1565" s="10" t="s">
        <v>31</v>
      </c>
      <c r="J1565" s="11"/>
      <c r="K1565" s="11"/>
      <c r="L1565" s="11"/>
    </row>
    <row r="1566" spans="1:17" ht="14.4">
      <c r="A1566" s="9" t="s">
        <v>2234</v>
      </c>
      <c r="B1566" s="7"/>
      <c r="C1566" s="6"/>
      <c r="H1566" s="9"/>
      <c r="I1566" s="11"/>
      <c r="J1566" s="10" t="s">
        <v>49</v>
      </c>
      <c r="K1566" s="11"/>
      <c r="L1566" s="11"/>
    </row>
    <row r="1567" spans="1:17" ht="14.4">
      <c r="A1567" s="6" t="s">
        <v>2234</v>
      </c>
      <c r="B1567" s="7"/>
      <c r="C1567" s="7"/>
      <c r="H1567" s="9"/>
      <c r="I1567" s="11"/>
      <c r="J1567" s="11"/>
      <c r="K1567" s="11"/>
      <c r="L1567" s="11"/>
      <c r="Q1567" s="16">
        <v>45833</v>
      </c>
    </row>
    <row r="1568" spans="1:17" ht="14.4">
      <c r="A1568" s="6" t="s">
        <v>2236</v>
      </c>
      <c r="B1568" s="8">
        <v>1154039229</v>
      </c>
      <c r="C1568" s="6" t="s">
        <v>2237</v>
      </c>
      <c r="H1568" s="9" t="s">
        <v>94</v>
      </c>
      <c r="I1568" s="11"/>
      <c r="J1568" s="11"/>
      <c r="K1568" s="11"/>
      <c r="L1568" s="11"/>
    </row>
    <row r="1569" spans="1:16" ht="14.4">
      <c r="A1569" s="6" t="s">
        <v>2236</v>
      </c>
      <c r="B1569" s="7"/>
      <c r="C1569" s="6"/>
      <c r="H1569" s="9" t="s">
        <v>94</v>
      </c>
      <c r="I1569" s="11"/>
      <c r="J1569" s="11"/>
      <c r="K1569" s="11"/>
      <c r="L1569" s="11"/>
    </row>
    <row r="1570" spans="1:16" ht="14.4">
      <c r="A1570" s="14" t="s">
        <v>2238</v>
      </c>
      <c r="B1570" s="14"/>
      <c r="C1570" s="19" t="str">
        <f>HYPERLINK("mailto:n_shapulina@hotmail.com","n_shapulina@hotmail.com")</f>
        <v>n_shapulina@hotmail.com</v>
      </c>
      <c r="D1570" s="14"/>
      <c r="E1570" s="15">
        <v>41426</v>
      </c>
      <c r="F1570" s="15">
        <v>41760</v>
      </c>
      <c r="G1570" s="15">
        <v>41852</v>
      </c>
      <c r="H1570" s="10"/>
      <c r="I1570" s="10"/>
      <c r="J1570" s="10"/>
      <c r="K1570" s="10"/>
      <c r="L1570" s="10"/>
      <c r="M1570" s="14"/>
      <c r="N1570" s="14"/>
      <c r="O1570" s="14"/>
    </row>
    <row r="1571" spans="1:16" ht="14.4">
      <c r="A1571" s="13" t="s">
        <v>2239</v>
      </c>
      <c r="B1571" s="13" t="s">
        <v>2240</v>
      </c>
      <c r="C1571" s="46" t="str">
        <f>HYPERLINK("mailto:valedodino@yahoo.com.ar","valedodino@yahoo.com.ar")</f>
        <v>valedodino@yahoo.com.ar</v>
      </c>
      <c r="D1571" s="15">
        <v>41518</v>
      </c>
      <c r="E1571" s="14"/>
      <c r="F1571" s="14"/>
      <c r="G1571" s="14"/>
      <c r="H1571" s="20">
        <v>41579</v>
      </c>
      <c r="I1571" s="10"/>
      <c r="J1571" s="10"/>
      <c r="K1571" s="10"/>
      <c r="L1571" s="10"/>
      <c r="M1571" s="14"/>
      <c r="N1571" s="14"/>
      <c r="O1571" s="14"/>
    </row>
    <row r="1572" spans="1:16" ht="14.4">
      <c r="A1572" s="6" t="s">
        <v>2241</v>
      </c>
      <c r="B1572" s="7"/>
      <c r="C1572" s="7"/>
      <c r="H1572" s="9" t="s">
        <v>65</v>
      </c>
      <c r="I1572" s="11"/>
      <c r="J1572" s="11"/>
      <c r="K1572" s="11"/>
      <c r="L1572" s="11"/>
    </row>
    <row r="1573" spans="1:16" ht="14.4">
      <c r="A1573" s="6" t="s">
        <v>2241</v>
      </c>
      <c r="B1573" s="7"/>
      <c r="C1573" s="7"/>
      <c r="H1573" s="9"/>
      <c r="I1573" s="11" t="s">
        <v>22</v>
      </c>
      <c r="J1573" s="11"/>
      <c r="K1573" s="11"/>
      <c r="L1573" s="11"/>
    </row>
    <row r="1574" spans="1:16" ht="14.4">
      <c r="A1574" s="6" t="s">
        <v>2242</v>
      </c>
      <c r="B1574" s="7"/>
      <c r="C1574" s="6" t="s">
        <v>2243</v>
      </c>
      <c r="H1574" s="9" t="s">
        <v>67</v>
      </c>
      <c r="I1574" s="11"/>
      <c r="J1574" s="11"/>
      <c r="K1574" s="11"/>
      <c r="L1574" s="11"/>
    </row>
    <row r="1575" spans="1:16" ht="14.4">
      <c r="A1575" s="9" t="s">
        <v>2242</v>
      </c>
      <c r="B1575" s="7"/>
      <c r="C1575" s="6" t="s">
        <v>2243</v>
      </c>
      <c r="H1575" s="9"/>
      <c r="I1575" s="10" t="s">
        <v>68</v>
      </c>
      <c r="J1575" s="11"/>
      <c r="K1575" s="11"/>
      <c r="L1575" s="11"/>
    </row>
    <row r="1576" spans="1:16" ht="14.4">
      <c r="A1576" s="61" t="s">
        <v>2242</v>
      </c>
      <c r="B1576" s="7"/>
      <c r="C1576" s="6" t="s">
        <v>2243</v>
      </c>
      <c r="H1576" s="9"/>
      <c r="I1576" s="11"/>
      <c r="J1576" s="10" t="s">
        <v>163</v>
      </c>
      <c r="K1576" s="11"/>
      <c r="L1576" s="11"/>
    </row>
    <row r="1577" spans="1:16" ht="14.4">
      <c r="A1577" s="6" t="s">
        <v>2244</v>
      </c>
      <c r="B1577" s="17" t="s">
        <v>2245</v>
      </c>
      <c r="C1577" s="10" t="s">
        <v>2246</v>
      </c>
      <c r="D1577" s="21" t="s">
        <v>71</v>
      </c>
      <c r="H1577" s="9" t="s">
        <v>260</v>
      </c>
      <c r="I1577" s="10" t="s">
        <v>212</v>
      </c>
      <c r="J1577" s="17" t="s">
        <v>71</v>
      </c>
      <c r="K1577" s="17" t="s">
        <v>261</v>
      </c>
      <c r="L1577" s="10" t="s">
        <v>885</v>
      </c>
    </row>
    <row r="1578" spans="1:16" ht="14.4">
      <c r="A1578" s="6" t="s">
        <v>2244</v>
      </c>
      <c r="B1578" s="9" t="s">
        <v>2245</v>
      </c>
      <c r="C1578" s="9" t="s">
        <v>2246</v>
      </c>
      <c r="H1578" s="22"/>
      <c r="I1578" s="11"/>
      <c r="J1578" s="11"/>
      <c r="K1578" s="11"/>
      <c r="L1578" s="11"/>
      <c r="P1578" s="43" t="s">
        <v>295</v>
      </c>
    </row>
    <row r="1579" spans="1:16" ht="14.4">
      <c r="A1579" s="6" t="s">
        <v>2247</v>
      </c>
      <c r="B1579" s="7"/>
      <c r="C1579" s="7"/>
      <c r="H1579" s="9"/>
      <c r="I1579" s="11"/>
      <c r="J1579" s="11"/>
      <c r="K1579" s="11"/>
      <c r="L1579" s="10" t="s">
        <v>35</v>
      </c>
    </row>
    <row r="1580" spans="1:16" ht="14.4">
      <c r="A1580" s="13" t="s">
        <v>2248</v>
      </c>
      <c r="B1580" s="13">
        <v>1536266582</v>
      </c>
      <c r="C1580" s="13" t="s">
        <v>2249</v>
      </c>
      <c r="D1580" s="15">
        <v>42186</v>
      </c>
      <c r="E1580" s="14"/>
      <c r="F1580" s="14"/>
      <c r="G1580" s="14"/>
      <c r="H1580" s="20">
        <v>42278</v>
      </c>
      <c r="I1580" s="10"/>
      <c r="J1580" s="10"/>
      <c r="K1580" s="10"/>
      <c r="L1580" s="10"/>
      <c r="M1580" s="14"/>
      <c r="N1580" s="14"/>
      <c r="O1580" s="14"/>
    </row>
    <row r="1581" spans="1:16" ht="14.4">
      <c r="A1581" s="14" t="s">
        <v>2250</v>
      </c>
      <c r="B1581" s="14" t="s">
        <v>2251</v>
      </c>
      <c r="C1581" s="19" t="str">
        <f>HYPERLINK("mailto:fotosvaleriamartin@gmail.com","fotosvaleriamartin@gmail.com")</f>
        <v>fotosvaleriamartin@gmail.com</v>
      </c>
      <c r="D1581" s="14"/>
      <c r="E1581" s="14"/>
      <c r="F1581" s="14"/>
      <c r="G1581" s="14"/>
      <c r="H1581" s="20">
        <v>41699</v>
      </c>
      <c r="I1581" s="10"/>
      <c r="J1581" s="10"/>
      <c r="K1581" s="10"/>
      <c r="L1581" s="10"/>
      <c r="M1581" s="14"/>
      <c r="N1581" s="14"/>
      <c r="O1581" s="14"/>
    </row>
    <row r="1582" spans="1:16" ht="14.4">
      <c r="A1582" s="6" t="s">
        <v>2252</v>
      </c>
      <c r="B1582" s="7"/>
      <c r="C1582" s="7"/>
      <c r="H1582" s="9" t="s">
        <v>123</v>
      </c>
      <c r="I1582" s="11"/>
      <c r="J1582" s="11"/>
      <c r="K1582" s="11"/>
      <c r="L1582" s="11"/>
    </row>
    <row r="1583" spans="1:16" ht="14.4">
      <c r="A1583" s="14" t="s">
        <v>2253</v>
      </c>
      <c r="B1583" s="14" t="s">
        <v>2254</v>
      </c>
      <c r="C1583" s="14" t="s">
        <v>2255</v>
      </c>
      <c r="D1583" s="15">
        <v>41579</v>
      </c>
      <c r="E1583" s="14"/>
      <c r="F1583" s="14"/>
      <c r="G1583" s="14"/>
      <c r="H1583" s="10"/>
      <c r="I1583" s="10"/>
      <c r="J1583" s="10"/>
      <c r="K1583" s="10"/>
      <c r="L1583" s="10"/>
      <c r="M1583" s="14"/>
      <c r="N1583" s="14"/>
      <c r="O1583" s="14"/>
    </row>
    <row r="1584" spans="1:16" ht="14.4">
      <c r="A1584" s="6" t="s">
        <v>2256</v>
      </c>
      <c r="B1584" s="7"/>
      <c r="C1584" s="6"/>
      <c r="H1584" s="9" t="s">
        <v>50</v>
      </c>
      <c r="I1584" s="11"/>
      <c r="J1584" s="11"/>
      <c r="K1584" s="11"/>
      <c r="L1584" s="11"/>
    </row>
    <row r="1585" spans="1:15" ht="14.4">
      <c r="A1585" s="6" t="s">
        <v>2256</v>
      </c>
      <c r="B1585" s="7"/>
      <c r="C1585" s="6"/>
      <c r="H1585" s="9"/>
      <c r="I1585" s="10" t="s">
        <v>51</v>
      </c>
      <c r="J1585" s="11"/>
      <c r="K1585" s="11"/>
      <c r="L1585" s="11"/>
    </row>
    <row r="1586" spans="1:15" ht="14.4">
      <c r="A1586" s="6" t="s">
        <v>2256</v>
      </c>
      <c r="B1586" s="7"/>
      <c r="C1586" s="6"/>
      <c r="H1586" s="9"/>
      <c r="I1586" s="11"/>
      <c r="J1586" s="41">
        <v>45954</v>
      </c>
      <c r="K1586" s="11"/>
      <c r="L1586" s="11"/>
    </row>
    <row r="1587" spans="1:15" ht="14.4">
      <c r="A1587" s="6" t="s">
        <v>2257</v>
      </c>
      <c r="B1587" s="7"/>
      <c r="C1587" s="6" t="s">
        <v>2258</v>
      </c>
      <c r="H1587" s="69" t="s">
        <v>269</v>
      </c>
      <c r="I1587" s="11" t="s">
        <v>110</v>
      </c>
      <c r="J1587" s="35">
        <v>45252</v>
      </c>
      <c r="K1587" s="11"/>
      <c r="L1587" s="11"/>
    </row>
    <row r="1588" spans="1:15" ht="14.4">
      <c r="A1588" s="14" t="s">
        <v>2259</v>
      </c>
      <c r="B1588" s="14" t="s">
        <v>2260</v>
      </c>
      <c r="C1588" s="19" t="str">
        <f>HYPERLINK("mailto:valeriaperezestilista@hotmail.com","valeriaperezestilista@hotmail.com")</f>
        <v>valeriaperezestilista@hotmail.com</v>
      </c>
      <c r="D1588" s="15">
        <v>41334</v>
      </c>
      <c r="E1588" s="14"/>
      <c r="F1588" s="15">
        <v>41426</v>
      </c>
      <c r="G1588" s="14"/>
      <c r="H1588" s="10"/>
      <c r="I1588" s="10"/>
      <c r="J1588" s="10"/>
      <c r="K1588" s="10"/>
      <c r="L1588" s="10"/>
      <c r="M1588" s="14"/>
      <c r="N1588" s="14"/>
      <c r="O1588" s="14"/>
    </row>
    <row r="1589" spans="1:15" ht="14.4">
      <c r="A1589" s="13" t="s">
        <v>2261</v>
      </c>
      <c r="B1589" s="13">
        <v>1535684209</v>
      </c>
      <c r="C1589" s="13" t="s">
        <v>2262</v>
      </c>
      <c r="D1589" s="15">
        <v>41852</v>
      </c>
      <c r="E1589" s="14"/>
      <c r="F1589" s="14"/>
      <c r="G1589" s="14"/>
      <c r="H1589" s="10"/>
      <c r="I1589" s="10"/>
      <c r="J1589" s="10"/>
      <c r="K1589" s="10"/>
      <c r="L1589" s="10"/>
      <c r="M1589" s="14"/>
      <c r="N1589" s="14"/>
      <c r="O1589" s="14"/>
    </row>
    <row r="1590" spans="1:15" ht="14.4">
      <c r="A1590" s="14" t="s">
        <v>2263</v>
      </c>
      <c r="B1590" s="13">
        <v>1564451924</v>
      </c>
      <c r="C1590" s="14" t="s">
        <v>2264</v>
      </c>
      <c r="D1590" s="15">
        <v>41000</v>
      </c>
      <c r="E1590" s="14"/>
      <c r="F1590" s="15">
        <v>41122</v>
      </c>
      <c r="G1590" s="14"/>
      <c r="H1590" s="10"/>
      <c r="I1590" s="10"/>
      <c r="J1590" s="10"/>
      <c r="K1590" s="10"/>
      <c r="L1590" s="10"/>
      <c r="M1590" s="14"/>
      <c r="N1590" s="14"/>
      <c r="O1590" s="14"/>
    </row>
    <row r="1591" spans="1:15" ht="14.4">
      <c r="A1591" s="14" t="s">
        <v>2265</v>
      </c>
      <c r="B1591" s="13" t="s">
        <v>2266</v>
      </c>
      <c r="C1591" s="19" t="str">
        <f>HYPERLINK("mailto:vali_306@hotmail.com","vali_306@hotmail.com")</f>
        <v>vali_306@hotmail.com</v>
      </c>
      <c r="D1591" s="14"/>
      <c r="E1591" s="14"/>
      <c r="F1591" s="15">
        <v>41365</v>
      </c>
      <c r="G1591" s="14"/>
      <c r="H1591" s="10"/>
      <c r="I1591" s="10"/>
      <c r="J1591" s="10"/>
      <c r="K1591" s="10"/>
      <c r="L1591" s="10"/>
      <c r="M1591" s="14"/>
      <c r="N1591" s="14"/>
      <c r="O1591" s="14"/>
    </row>
    <row r="1592" spans="1:15" ht="14.4">
      <c r="A1592" s="6" t="s">
        <v>2267</v>
      </c>
      <c r="B1592" s="7"/>
      <c r="C1592" s="6" t="s">
        <v>2268</v>
      </c>
      <c r="H1592" s="42">
        <v>45222</v>
      </c>
      <c r="I1592" s="11"/>
      <c r="J1592" s="11"/>
      <c r="K1592" s="11"/>
      <c r="L1592" s="11"/>
    </row>
    <row r="1593" spans="1:15" ht="14.4">
      <c r="A1593" s="6" t="s">
        <v>2267</v>
      </c>
      <c r="B1593" s="7"/>
      <c r="C1593" s="6" t="s">
        <v>2268</v>
      </c>
      <c r="H1593" s="9"/>
      <c r="I1593" s="41">
        <v>45253</v>
      </c>
      <c r="J1593" s="11"/>
      <c r="K1593" s="11"/>
      <c r="L1593" s="11"/>
    </row>
    <row r="1594" spans="1:15" ht="14.4">
      <c r="A1594" s="14" t="s">
        <v>2269</v>
      </c>
      <c r="B1594" s="13">
        <v>1549354737</v>
      </c>
      <c r="C1594" s="14" t="s">
        <v>2270</v>
      </c>
      <c r="D1594" s="39">
        <v>43391</v>
      </c>
      <c r="E1594" s="14"/>
      <c r="F1594" s="14"/>
      <c r="G1594" s="14"/>
      <c r="H1594" s="10"/>
      <c r="I1594" s="11"/>
      <c r="J1594" s="11"/>
      <c r="K1594" s="11"/>
      <c r="L1594" s="11"/>
    </row>
    <row r="1595" spans="1:15" ht="14.4">
      <c r="A1595" s="14" t="s">
        <v>2271</v>
      </c>
      <c r="B1595" s="14" t="s">
        <v>2272</v>
      </c>
      <c r="C1595" s="19" t="str">
        <f>HYPERLINK("mailto:vanesagrusso@yahoo.com.ar","vanesagrusso@yahoo.com.ar")</f>
        <v>vanesagrusso@yahoo.com.ar</v>
      </c>
      <c r="D1595" s="15">
        <v>41579</v>
      </c>
      <c r="E1595" s="14"/>
      <c r="F1595" s="14"/>
      <c r="G1595" s="14"/>
      <c r="H1595" s="10"/>
      <c r="I1595" s="10"/>
      <c r="J1595" s="10"/>
      <c r="K1595" s="10"/>
      <c r="L1595" s="10"/>
      <c r="M1595" s="14"/>
      <c r="N1595" s="14"/>
      <c r="O1595" s="14"/>
    </row>
    <row r="1596" spans="1:15" ht="14.4">
      <c r="A1596" s="14" t="s">
        <v>2273</v>
      </c>
      <c r="B1596" s="14" t="s">
        <v>2274</v>
      </c>
      <c r="C1596" s="19" t="str">
        <f>HYPERLINK("mailto:schappi_vanesa@hotmail.com","schappi_vanesa@hotmail.com")</f>
        <v>schappi_vanesa@hotmail.com</v>
      </c>
      <c r="D1596" s="14"/>
      <c r="E1596" s="14"/>
      <c r="F1596" s="15">
        <v>41487</v>
      </c>
      <c r="G1596" s="14"/>
      <c r="H1596" s="10"/>
      <c r="I1596" s="10"/>
      <c r="J1596" s="10"/>
      <c r="K1596" s="10"/>
      <c r="L1596" s="10"/>
      <c r="M1596" s="14"/>
      <c r="N1596" s="14"/>
      <c r="O1596" s="14"/>
    </row>
    <row r="1597" spans="1:15" ht="14.4">
      <c r="A1597" s="6" t="s">
        <v>2275</v>
      </c>
      <c r="B1597" s="7"/>
      <c r="C1597" s="6"/>
      <c r="H1597" s="9" t="s">
        <v>29</v>
      </c>
      <c r="I1597" s="11"/>
      <c r="J1597" s="11"/>
      <c r="K1597" s="11"/>
      <c r="L1597" s="11"/>
    </row>
    <row r="1598" spans="1:15" ht="14.4">
      <c r="A1598" s="6" t="s">
        <v>2275</v>
      </c>
      <c r="B1598" s="7"/>
      <c r="C1598" s="6"/>
      <c r="H1598" s="9"/>
      <c r="I1598" s="10" t="s">
        <v>30</v>
      </c>
      <c r="J1598" s="11"/>
      <c r="K1598" s="11"/>
      <c r="L1598" s="11"/>
    </row>
    <row r="1599" spans="1:15" ht="14.4">
      <c r="A1599" s="6" t="s">
        <v>2275</v>
      </c>
      <c r="B1599" s="7"/>
      <c r="C1599" s="6"/>
      <c r="H1599" s="9"/>
      <c r="I1599" s="11"/>
      <c r="J1599" s="10" t="s">
        <v>31</v>
      </c>
      <c r="K1599" s="11"/>
      <c r="L1599" s="11"/>
    </row>
    <row r="1600" spans="1:15" ht="14.4">
      <c r="A1600" s="6" t="s">
        <v>2276</v>
      </c>
      <c r="B1600" s="8">
        <v>2966586028</v>
      </c>
      <c r="C1600" s="6" t="s">
        <v>2277</v>
      </c>
      <c r="H1600" s="43" t="s">
        <v>143</v>
      </c>
      <c r="I1600" s="11"/>
      <c r="J1600" s="11"/>
      <c r="K1600" s="11"/>
      <c r="L1600" s="11"/>
    </row>
    <row r="1601" spans="1:16" ht="14.4">
      <c r="A1601" s="6" t="s">
        <v>2278</v>
      </c>
      <c r="B1601" s="55">
        <v>1165493170</v>
      </c>
      <c r="C1601" s="9" t="s">
        <v>523</v>
      </c>
      <c r="H1601" s="53" t="s">
        <v>194</v>
      </c>
      <c r="I1601" s="11" t="s">
        <v>247</v>
      </c>
      <c r="J1601" t="s">
        <v>689</v>
      </c>
      <c r="K1601" s="11"/>
      <c r="L1601" s="11"/>
      <c r="P1601" s="12" t="s">
        <v>194</v>
      </c>
    </row>
    <row r="1602" spans="1:16" ht="14.4">
      <c r="A1602" s="6" t="s">
        <v>2278</v>
      </c>
      <c r="B1602" s="7"/>
      <c r="C1602" s="7"/>
      <c r="H1602" s="22"/>
      <c r="I1602" s="11"/>
      <c r="J1602" s="11"/>
      <c r="K1602" s="57" t="s">
        <v>294</v>
      </c>
      <c r="L1602" s="11"/>
    </row>
    <row r="1603" spans="1:16" ht="14.4">
      <c r="A1603" s="6" t="s">
        <v>2279</v>
      </c>
      <c r="B1603" s="8">
        <v>3492621523</v>
      </c>
      <c r="C1603" s="6" t="s">
        <v>2280</v>
      </c>
      <c r="H1603" s="57" t="s">
        <v>294</v>
      </c>
      <c r="I1603" s="11"/>
      <c r="J1603" s="11"/>
      <c r="K1603" s="11"/>
      <c r="L1603" s="11"/>
    </row>
    <row r="1604" spans="1:16" ht="14.4">
      <c r="A1604" s="6" t="s">
        <v>2279</v>
      </c>
      <c r="B1604" s="8">
        <v>3492621523</v>
      </c>
      <c r="C1604" s="6" t="s">
        <v>2280</v>
      </c>
      <c r="H1604" s="22"/>
      <c r="I1604" s="43" t="s">
        <v>295</v>
      </c>
      <c r="J1604" s="11"/>
      <c r="K1604" s="11"/>
      <c r="L1604" s="11"/>
    </row>
    <row r="1605" spans="1:16" ht="14.4">
      <c r="A1605" s="6" t="s">
        <v>2281</v>
      </c>
      <c r="B1605" s="7"/>
      <c r="C1605" s="6" t="s">
        <v>2282</v>
      </c>
      <c r="H1605" s="6" t="s">
        <v>34</v>
      </c>
      <c r="I1605" s="11"/>
      <c r="J1605" s="11"/>
      <c r="K1605" s="11"/>
      <c r="L1605" s="11"/>
    </row>
    <row r="1606" spans="1:16" ht="14.4">
      <c r="A1606" s="6" t="s">
        <v>2281</v>
      </c>
      <c r="B1606" s="6"/>
      <c r="C1606" s="6" t="s">
        <v>2282</v>
      </c>
      <c r="H1606" s="9" t="s">
        <v>109</v>
      </c>
      <c r="I1606" s="11"/>
      <c r="J1606" s="11"/>
      <c r="K1606" s="11"/>
      <c r="L1606" s="11"/>
    </row>
    <row r="1607" spans="1:16" ht="14.4">
      <c r="A1607" s="6" t="s">
        <v>2283</v>
      </c>
      <c r="B1607" s="7"/>
      <c r="C1607" s="6" t="s">
        <v>2284</v>
      </c>
      <c r="H1607" s="9" t="s">
        <v>159</v>
      </c>
      <c r="I1607" s="11"/>
      <c r="J1607" s="11"/>
      <c r="K1607" s="11"/>
      <c r="L1607" s="11"/>
    </row>
    <row r="1608" spans="1:16" ht="14.4">
      <c r="A1608" s="7" t="s">
        <v>2283</v>
      </c>
      <c r="B1608" s="7"/>
      <c r="C1608" s="7" t="s">
        <v>2284</v>
      </c>
      <c r="H1608" s="9" t="s">
        <v>75</v>
      </c>
      <c r="I1608" s="11"/>
      <c r="J1608" s="11"/>
      <c r="K1608" s="11"/>
      <c r="L1608" s="11"/>
    </row>
    <row r="1609" spans="1:16" ht="14.4">
      <c r="A1609" s="9" t="s">
        <v>2283</v>
      </c>
      <c r="B1609" s="7"/>
      <c r="C1609" s="6" t="s">
        <v>2284</v>
      </c>
      <c r="H1609" s="9"/>
      <c r="I1609" s="11"/>
      <c r="J1609" s="10" t="s">
        <v>19</v>
      </c>
      <c r="K1609" s="11"/>
      <c r="L1609" s="11"/>
    </row>
    <row r="1610" spans="1:16" ht="14.4">
      <c r="A1610" s="9" t="s">
        <v>2283</v>
      </c>
      <c r="B1610" s="7"/>
      <c r="C1610" s="7" t="s">
        <v>2284</v>
      </c>
      <c r="H1610" s="9"/>
      <c r="I1610" s="11"/>
      <c r="J1610" s="11"/>
      <c r="K1610" s="17" t="s">
        <v>20</v>
      </c>
      <c r="L1610" s="11"/>
    </row>
    <row r="1611" spans="1:16" ht="14.4">
      <c r="A1611" s="6" t="s">
        <v>2283</v>
      </c>
      <c r="B1611" s="7"/>
      <c r="C1611" s="7"/>
      <c r="H1611" s="9"/>
      <c r="I1611" s="11"/>
      <c r="J1611" s="11"/>
      <c r="K1611" s="11"/>
      <c r="L1611" s="10" t="s">
        <v>35</v>
      </c>
    </row>
    <row r="1612" spans="1:16" ht="14.4">
      <c r="A1612" s="6" t="s">
        <v>2285</v>
      </c>
      <c r="B1612" s="7"/>
      <c r="C1612" s="6"/>
      <c r="H1612" s="9" t="s">
        <v>50</v>
      </c>
      <c r="I1612" s="11"/>
      <c r="J1612" s="11"/>
      <c r="K1612" s="11"/>
      <c r="L1612" s="11"/>
    </row>
    <row r="1613" spans="1:16" ht="14.4">
      <c r="A1613" s="6" t="s">
        <v>2285</v>
      </c>
      <c r="B1613" s="7"/>
      <c r="C1613" s="6"/>
      <c r="H1613" s="9"/>
      <c r="I1613" s="10" t="s">
        <v>51</v>
      </c>
      <c r="J1613" s="11"/>
      <c r="K1613" s="11"/>
      <c r="L1613" s="11"/>
    </row>
    <row r="1614" spans="1:16" ht="14.4">
      <c r="A1614" s="9" t="s">
        <v>2285</v>
      </c>
      <c r="B1614" s="7"/>
      <c r="C1614" s="6"/>
      <c r="H1614" s="9"/>
      <c r="I1614" s="11"/>
      <c r="J1614" s="41">
        <v>45954</v>
      </c>
      <c r="K1614" s="11"/>
      <c r="L1614" s="11"/>
    </row>
    <row r="1615" spans="1:16" ht="14.4">
      <c r="A1615" s="14" t="s">
        <v>2286</v>
      </c>
      <c r="B1615" s="14"/>
      <c r="C1615" s="19" t="str">
        <f>HYPERLINK("mailto:alvarez.veronica@gmail.com","alvarez.veronica@gmail.com")</f>
        <v>alvarez.veronica@gmail.com</v>
      </c>
      <c r="D1615" s="14"/>
      <c r="E1615" s="15">
        <v>41426</v>
      </c>
      <c r="F1615" s="14"/>
      <c r="G1615" s="14"/>
      <c r="H1615" s="10"/>
      <c r="I1615" s="10"/>
      <c r="J1615" s="10"/>
      <c r="K1615" s="10"/>
      <c r="L1615" s="10"/>
      <c r="M1615" s="14"/>
      <c r="N1615" s="14"/>
      <c r="O1615" s="14"/>
    </row>
    <row r="1616" spans="1:16" ht="14.4">
      <c r="A1616" s="14" t="s">
        <v>2287</v>
      </c>
      <c r="B1616" s="17">
        <v>1565115105</v>
      </c>
      <c r="C1616" s="14" t="s">
        <v>2288</v>
      </c>
      <c r="E1616" s="21" t="s">
        <v>314</v>
      </c>
      <c r="H1616" s="22"/>
      <c r="I1616" s="11"/>
      <c r="J1616" s="11"/>
      <c r="K1616" s="11"/>
      <c r="L1616" s="11"/>
    </row>
    <row r="1617" spans="1:17" ht="14.4">
      <c r="A1617" s="44" t="s">
        <v>2289</v>
      </c>
      <c r="B1617" s="44"/>
      <c r="C1617" s="14" t="s">
        <v>2290</v>
      </c>
      <c r="D1617" s="14"/>
      <c r="E1617" s="14"/>
      <c r="F1617" s="14"/>
      <c r="G1617" s="14"/>
      <c r="H1617" s="10"/>
      <c r="I1617" s="10"/>
      <c r="J1617" s="10"/>
      <c r="K1617" s="10"/>
      <c r="L1617" s="10"/>
      <c r="M1617" s="15">
        <v>42309</v>
      </c>
      <c r="N1617" s="14"/>
      <c r="O1617" s="14"/>
    </row>
    <row r="1618" spans="1:17" ht="14.4">
      <c r="A1618" s="6" t="s">
        <v>2291</v>
      </c>
      <c r="B1618" s="7"/>
      <c r="C1618" s="7"/>
      <c r="H1618" s="9" t="s">
        <v>65</v>
      </c>
      <c r="I1618" s="11"/>
      <c r="J1618" s="11"/>
      <c r="K1618" s="11"/>
      <c r="L1618" s="11"/>
    </row>
    <row r="1619" spans="1:17" ht="14.4">
      <c r="A1619" s="6" t="s">
        <v>2291</v>
      </c>
      <c r="B1619" s="7"/>
      <c r="C1619" s="7"/>
      <c r="H1619" s="9"/>
      <c r="I1619" s="11" t="s">
        <v>22</v>
      </c>
      <c r="J1619" s="11"/>
      <c r="K1619" s="11"/>
      <c r="L1619" s="11"/>
    </row>
    <row r="1620" spans="1:17" ht="14.4">
      <c r="A1620" s="9" t="s">
        <v>2291</v>
      </c>
      <c r="B1620" s="7"/>
      <c r="C1620" s="7"/>
      <c r="H1620" s="9"/>
      <c r="I1620" s="11"/>
      <c r="J1620" s="11" t="s">
        <v>24</v>
      </c>
      <c r="K1620" s="11"/>
      <c r="L1620" s="11"/>
    </row>
    <row r="1621" spans="1:17" ht="14.4">
      <c r="A1621" s="14" t="s">
        <v>2292</v>
      </c>
      <c r="B1621" s="14"/>
      <c r="C1621" s="14" t="s">
        <v>2293</v>
      </c>
      <c r="D1621" s="14"/>
      <c r="E1621" s="15">
        <v>41365</v>
      </c>
      <c r="F1621" s="14"/>
      <c r="G1621" s="14"/>
      <c r="H1621" s="10"/>
      <c r="I1621" s="10"/>
      <c r="J1621" s="10"/>
      <c r="K1621" s="10"/>
      <c r="L1621" s="10"/>
      <c r="M1621" s="14"/>
      <c r="N1621" s="14"/>
      <c r="O1621" s="14"/>
    </row>
    <row r="1622" spans="1:17" ht="14.4">
      <c r="A1622" s="6" t="s">
        <v>2294</v>
      </c>
      <c r="B1622" s="7"/>
      <c r="C1622" s="7"/>
      <c r="H1622" s="9" t="s">
        <v>82</v>
      </c>
      <c r="I1622" s="11"/>
      <c r="J1622" s="11"/>
      <c r="K1622" s="11"/>
      <c r="L1622" s="11"/>
    </row>
    <row r="1623" spans="1:17" ht="14.4">
      <c r="A1623" s="9" t="s">
        <v>2294</v>
      </c>
      <c r="B1623" s="7"/>
      <c r="C1623" s="7"/>
      <c r="H1623" s="9"/>
      <c r="I1623" s="35">
        <v>45713</v>
      </c>
      <c r="J1623" s="11"/>
      <c r="K1623" s="11"/>
      <c r="L1623" s="11"/>
    </row>
    <row r="1624" spans="1:17" ht="14.4">
      <c r="A1624" s="6" t="s">
        <v>2295</v>
      </c>
      <c r="B1624" s="7"/>
      <c r="C1624" s="7"/>
      <c r="H1624" s="9"/>
      <c r="I1624" s="11"/>
      <c r="J1624" s="11"/>
      <c r="K1624" s="11"/>
      <c r="L1624" s="11"/>
      <c r="Q1624" s="12" t="s">
        <v>22</v>
      </c>
    </row>
    <row r="1625" spans="1:17" ht="14.4">
      <c r="A1625" s="9" t="s">
        <v>2296</v>
      </c>
      <c r="B1625" s="55" t="s">
        <v>2297</v>
      </c>
      <c r="C1625" s="17" t="s">
        <v>2298</v>
      </c>
      <c r="D1625" s="49">
        <v>43421</v>
      </c>
      <c r="H1625" s="22"/>
      <c r="I1625" s="11"/>
      <c r="J1625" s="11"/>
      <c r="K1625" s="11"/>
      <c r="L1625" s="11"/>
    </row>
    <row r="1626" spans="1:17" ht="14.4">
      <c r="A1626" s="10" t="s">
        <v>2299</v>
      </c>
      <c r="B1626" s="23">
        <v>92932575052</v>
      </c>
      <c r="C1626" s="10" t="s">
        <v>2300</v>
      </c>
      <c r="H1626" s="30" t="s">
        <v>73</v>
      </c>
      <c r="I1626" s="11"/>
      <c r="J1626" s="11"/>
      <c r="K1626" s="11"/>
      <c r="L1626" s="11"/>
    </row>
    <row r="1627" spans="1:17" ht="14.4">
      <c r="A1627" s="6" t="s">
        <v>2299</v>
      </c>
      <c r="B1627" s="30">
        <v>92932575052</v>
      </c>
      <c r="C1627" s="10" t="s">
        <v>2300</v>
      </c>
      <c r="H1627" s="22" t="s">
        <v>275</v>
      </c>
      <c r="I1627" s="11"/>
      <c r="J1627" s="11"/>
      <c r="K1627" s="11"/>
      <c r="L1627" s="11"/>
    </row>
    <row r="1628" spans="1:17" ht="14.4">
      <c r="A1628" s="6" t="s">
        <v>2299</v>
      </c>
      <c r="B1628" s="30">
        <v>92932575052</v>
      </c>
      <c r="C1628" s="9" t="s">
        <v>2300</v>
      </c>
      <c r="H1628" s="53" t="s">
        <v>730</v>
      </c>
      <c r="I1628" s="11"/>
      <c r="J1628" s="11"/>
      <c r="K1628" s="11"/>
      <c r="L1628" s="11"/>
    </row>
    <row r="1629" spans="1:17" ht="14.4">
      <c r="A1629" s="25" t="s">
        <v>2301</v>
      </c>
      <c r="B1629" s="26">
        <v>1121800269</v>
      </c>
      <c r="C1629" s="26" t="s">
        <v>2302</v>
      </c>
      <c r="E1629" s="39">
        <v>43149</v>
      </c>
      <c r="H1629" s="22"/>
      <c r="I1629" s="11"/>
      <c r="J1629" s="11"/>
      <c r="K1629" s="11"/>
      <c r="L1629" s="11"/>
    </row>
    <row r="1630" spans="1:17" ht="14.4">
      <c r="A1630" s="13" t="s">
        <v>2303</v>
      </c>
      <c r="B1630" s="13" t="s">
        <v>2304</v>
      </c>
      <c r="C1630" s="46" t="str">
        <f>HYPERLINK("mailto:veronicarada@yahoo.com","veronicarada@yahoo.com")</f>
        <v>veronicarada@yahoo.com</v>
      </c>
      <c r="D1630" s="15">
        <v>40817</v>
      </c>
      <c r="E1630" s="14"/>
      <c r="F1630" s="14"/>
      <c r="G1630" s="14"/>
      <c r="H1630" s="10"/>
      <c r="I1630" s="10"/>
      <c r="J1630" s="10"/>
      <c r="K1630" s="10"/>
      <c r="L1630" s="10"/>
      <c r="M1630" s="14"/>
      <c r="N1630" s="14"/>
      <c r="O1630" s="14"/>
    </row>
    <row r="1631" spans="1:17" ht="14.4">
      <c r="A1631" s="14" t="s">
        <v>2305</v>
      </c>
      <c r="B1631" s="14" t="s">
        <v>2306</v>
      </c>
      <c r="C1631" s="19" t="str">
        <f>HYPERLINK("mailto:veronica.salvador@gmail.com","veronica.salvador@gmail.com")</f>
        <v>veronica.salvador@gmail.com</v>
      </c>
      <c r="D1631" s="15">
        <v>41334</v>
      </c>
      <c r="E1631" s="14"/>
      <c r="F1631" s="15">
        <v>41426</v>
      </c>
      <c r="G1631" s="14"/>
      <c r="H1631" s="20">
        <v>41395</v>
      </c>
      <c r="I1631" s="10"/>
      <c r="J1631" s="10"/>
      <c r="K1631" s="10"/>
      <c r="L1631" s="10"/>
      <c r="M1631" s="14"/>
      <c r="N1631" s="14"/>
      <c r="O1631" s="14"/>
    </row>
    <row r="1632" spans="1:17" ht="14.4">
      <c r="A1632" s="6" t="s">
        <v>2307</v>
      </c>
      <c r="B1632" s="7"/>
      <c r="C1632" s="6" t="s">
        <v>2308</v>
      </c>
      <c r="H1632" s="9" t="s">
        <v>159</v>
      </c>
      <c r="I1632" s="11"/>
      <c r="J1632" s="11"/>
      <c r="K1632" s="11"/>
      <c r="L1632" s="11"/>
    </row>
    <row r="1633" spans="1:17" ht="14.4">
      <c r="A1633" s="7" t="s">
        <v>2307</v>
      </c>
      <c r="B1633" s="7"/>
      <c r="C1633" s="7" t="s">
        <v>2308</v>
      </c>
      <c r="H1633" s="9" t="s">
        <v>75</v>
      </c>
      <c r="I1633" s="11"/>
      <c r="J1633" s="11"/>
      <c r="K1633" s="11"/>
      <c r="L1633" s="11"/>
    </row>
    <row r="1634" spans="1:17" ht="14.4">
      <c r="A1634" s="9" t="s">
        <v>2307</v>
      </c>
      <c r="B1634" s="7"/>
      <c r="C1634" s="6" t="s">
        <v>2308</v>
      </c>
      <c r="H1634" s="9"/>
      <c r="I1634" s="11"/>
      <c r="J1634" s="10" t="s">
        <v>19</v>
      </c>
      <c r="K1634" s="11"/>
      <c r="L1634" s="11"/>
    </row>
    <row r="1635" spans="1:17" ht="14.4">
      <c r="A1635" s="9" t="s">
        <v>2307</v>
      </c>
      <c r="B1635" s="7"/>
      <c r="C1635" s="7" t="s">
        <v>2308</v>
      </c>
      <c r="H1635" s="9"/>
      <c r="I1635" s="11"/>
      <c r="J1635" s="11"/>
      <c r="K1635" s="17" t="s">
        <v>20</v>
      </c>
      <c r="L1635" s="11"/>
    </row>
    <row r="1636" spans="1:17" ht="14.4">
      <c r="A1636" s="6" t="s">
        <v>2307</v>
      </c>
      <c r="B1636" s="7"/>
      <c r="C1636" s="7"/>
      <c r="H1636" s="9"/>
      <c r="I1636" s="11"/>
      <c r="J1636" s="11"/>
      <c r="K1636" s="11"/>
      <c r="L1636" s="11"/>
      <c r="Q1636" s="16">
        <v>45713</v>
      </c>
    </row>
    <row r="1637" spans="1:17" ht="14.4">
      <c r="A1637" s="6" t="s">
        <v>2309</v>
      </c>
      <c r="B1637" s="29">
        <v>1153161197</v>
      </c>
      <c r="C1637" s="54" t="s">
        <v>2310</v>
      </c>
      <c r="H1637" s="57" t="s">
        <v>294</v>
      </c>
      <c r="I1637" s="11"/>
      <c r="J1637" s="11"/>
      <c r="K1637" s="11"/>
      <c r="L1637" s="11"/>
    </row>
    <row r="1638" spans="1:17" ht="14.4">
      <c r="A1638" s="6" t="s">
        <v>2309</v>
      </c>
      <c r="B1638" s="29">
        <v>1153161197</v>
      </c>
      <c r="C1638" s="54" t="s">
        <v>2310</v>
      </c>
      <c r="H1638" s="22"/>
      <c r="I1638" s="43" t="s">
        <v>295</v>
      </c>
      <c r="J1638" s="11"/>
      <c r="K1638" s="11"/>
      <c r="L1638" s="11"/>
    </row>
    <row r="1639" spans="1:17" ht="14.4">
      <c r="A1639" s="6" t="s">
        <v>2309</v>
      </c>
      <c r="B1639" s="51">
        <v>1153161197</v>
      </c>
      <c r="C1639" s="54" t="s">
        <v>2310</v>
      </c>
      <c r="H1639" s="22"/>
      <c r="I1639" s="11"/>
      <c r="J1639" s="11"/>
      <c r="K1639" s="57" t="s">
        <v>294</v>
      </c>
      <c r="L1639" s="11"/>
    </row>
    <row r="1640" spans="1:17" ht="14.4">
      <c r="A1640" s="6" t="s">
        <v>2311</v>
      </c>
      <c r="B1640" s="7"/>
      <c r="C1640" s="6"/>
      <c r="H1640" s="9" t="s">
        <v>50</v>
      </c>
      <c r="I1640" s="11"/>
      <c r="J1640" s="11"/>
      <c r="K1640" s="11"/>
      <c r="L1640" s="11"/>
    </row>
    <row r="1641" spans="1:17" ht="14.4">
      <c r="A1641" s="6" t="s">
        <v>2312</v>
      </c>
      <c r="B1641" s="8" t="s">
        <v>2313</v>
      </c>
      <c r="C1641" s="6" t="s">
        <v>2314</v>
      </c>
      <c r="H1641" s="57" t="s">
        <v>294</v>
      </c>
      <c r="I1641" s="11"/>
      <c r="J1641" s="11"/>
      <c r="K1641" s="11"/>
      <c r="L1641" s="11"/>
    </row>
    <row r="1642" spans="1:17" ht="14.4">
      <c r="A1642" s="6" t="s">
        <v>2312</v>
      </c>
      <c r="B1642" s="8" t="s">
        <v>2313</v>
      </c>
      <c r="C1642" s="6" t="s">
        <v>2314</v>
      </c>
      <c r="H1642" s="22"/>
      <c r="I1642" s="43" t="s">
        <v>295</v>
      </c>
      <c r="J1642" s="11"/>
      <c r="K1642" s="11"/>
      <c r="L1642" s="11"/>
    </row>
    <row r="1643" spans="1:17" ht="14.4">
      <c r="A1643" s="6" t="s">
        <v>2312</v>
      </c>
      <c r="B1643" s="8" t="s">
        <v>2313</v>
      </c>
      <c r="C1643" s="6" t="s">
        <v>2314</v>
      </c>
      <c r="H1643" s="22"/>
      <c r="I1643" s="11"/>
      <c r="J1643" s="11"/>
      <c r="K1643" s="11"/>
      <c r="L1643" s="11"/>
      <c r="P1643" s="43" t="s">
        <v>295</v>
      </c>
    </row>
    <row r="1644" spans="1:17" ht="14.4">
      <c r="A1644" s="6" t="s">
        <v>2315</v>
      </c>
      <c r="B1644" s="33"/>
      <c r="C1644" s="6" t="s">
        <v>2316</v>
      </c>
      <c r="D1644" s="14"/>
      <c r="E1644" s="14"/>
      <c r="F1644" s="14"/>
      <c r="G1644" s="6"/>
      <c r="H1644" s="30" t="s">
        <v>235</v>
      </c>
      <c r="I1644" s="23" t="s">
        <v>236</v>
      </c>
      <c r="J1644" s="10"/>
      <c r="K1644" s="10"/>
      <c r="L1644" s="10"/>
    </row>
    <row r="1645" spans="1:17" ht="14.4">
      <c r="A1645" s="14" t="s">
        <v>2317</v>
      </c>
      <c r="B1645" s="14" t="s">
        <v>2318</v>
      </c>
      <c r="C1645" s="14" t="s">
        <v>2319</v>
      </c>
      <c r="D1645" s="14"/>
      <c r="E1645" s="14"/>
      <c r="F1645" s="15">
        <v>41153</v>
      </c>
      <c r="G1645" s="14"/>
      <c r="H1645" s="10"/>
      <c r="I1645" s="10"/>
      <c r="J1645" s="10"/>
      <c r="K1645" s="10"/>
      <c r="L1645" s="10"/>
      <c r="M1645" s="14"/>
      <c r="N1645" s="14"/>
      <c r="O1645" s="14"/>
    </row>
    <row r="1646" spans="1:17" ht="14.4">
      <c r="A1646" s="13" t="s">
        <v>2320</v>
      </c>
      <c r="B1646" s="13">
        <v>1562086893</v>
      </c>
      <c r="C1646" s="46" t="str">
        <f>HYPERLINK("mailto:vickyfreije@gmail.com","vickyfreije@gmail.com")</f>
        <v>vickyfreije@gmail.com</v>
      </c>
      <c r="D1646" s="15">
        <v>42095</v>
      </c>
      <c r="E1646" s="15">
        <v>42005</v>
      </c>
      <c r="F1646" s="14"/>
      <c r="G1646" s="14"/>
      <c r="H1646" s="10"/>
      <c r="I1646" s="10"/>
      <c r="J1646" s="10"/>
      <c r="K1646" s="10"/>
      <c r="L1646" s="10"/>
      <c r="M1646" s="14"/>
      <c r="N1646" s="14"/>
      <c r="O1646" s="14"/>
    </row>
    <row r="1647" spans="1:17" ht="14.4">
      <c r="A1647" s="14" t="s">
        <v>2321</v>
      </c>
      <c r="B1647" s="14"/>
      <c r="C1647" s="14" t="s">
        <v>2322</v>
      </c>
      <c r="D1647" s="14"/>
      <c r="E1647" s="15">
        <v>41671</v>
      </c>
      <c r="F1647" s="14"/>
      <c r="G1647" s="14"/>
      <c r="H1647" s="10"/>
      <c r="I1647" s="10"/>
      <c r="J1647" s="10"/>
      <c r="K1647" s="10"/>
      <c r="L1647" s="10"/>
      <c r="M1647" s="14"/>
      <c r="N1647" s="14"/>
      <c r="O1647" s="14"/>
    </row>
    <row r="1648" spans="1:17" ht="14.4">
      <c r="A1648" s="13" t="s">
        <v>2323</v>
      </c>
      <c r="B1648" s="13" t="s">
        <v>2324</v>
      </c>
      <c r="C1648" s="46" t="str">
        <f>HYPERLINK("mailto:victoriames@gmail.com","victoriames@gmail.com")</f>
        <v>victoriames@gmail.com</v>
      </c>
      <c r="D1648" s="15">
        <v>41944</v>
      </c>
      <c r="E1648" s="14"/>
      <c r="F1648" s="14"/>
      <c r="G1648" s="14"/>
      <c r="H1648" s="10"/>
      <c r="I1648" s="10"/>
      <c r="J1648" s="10"/>
      <c r="K1648" s="10"/>
      <c r="L1648" s="10"/>
      <c r="M1648" s="14"/>
      <c r="N1648" s="14"/>
      <c r="O1648" s="14"/>
    </row>
    <row r="1649" spans="1:15" ht="14.4">
      <c r="A1649" s="14" t="s">
        <v>2325</v>
      </c>
      <c r="B1649" s="14" t="s">
        <v>2326</v>
      </c>
      <c r="C1649" s="19" t="str">
        <f>HYPERLINK("mailto:vrecouvreux@gmail.com","vrecouvreux@gmail.com")</f>
        <v>vrecouvreux@gmail.com</v>
      </c>
      <c r="D1649" s="14"/>
      <c r="E1649" s="14"/>
      <c r="F1649" s="15">
        <v>41153</v>
      </c>
      <c r="G1649" s="14"/>
      <c r="H1649" s="10"/>
      <c r="I1649" s="10"/>
      <c r="J1649" s="10"/>
      <c r="K1649" s="10"/>
      <c r="L1649" s="10"/>
      <c r="M1649" s="14"/>
      <c r="N1649" s="14"/>
      <c r="O1649" s="14"/>
    </row>
    <row r="1650" spans="1:15" ht="14.4">
      <c r="A1650" s="14" t="s">
        <v>2327</v>
      </c>
      <c r="B1650" s="13">
        <v>1536391995</v>
      </c>
      <c r="C1650" s="19" t="str">
        <f>HYPERLINK("mailto:vicusantarelli@hotmail.com","vicusantarelli@hotmail.com")</f>
        <v>vicusantarelli@hotmail.com</v>
      </c>
      <c r="D1650" s="15">
        <v>41395</v>
      </c>
      <c r="E1650" s="14"/>
      <c r="F1650" s="14"/>
      <c r="G1650" s="14"/>
      <c r="H1650" s="10"/>
      <c r="I1650" s="10"/>
      <c r="J1650" s="10"/>
      <c r="K1650" s="10"/>
      <c r="L1650" s="10"/>
      <c r="M1650" s="14"/>
      <c r="N1650" s="14"/>
      <c r="O1650" s="14"/>
    </row>
    <row r="1651" spans="1:15" ht="14.4">
      <c r="A1651" s="7" t="s">
        <v>2328</v>
      </c>
      <c r="B1651" s="38">
        <v>1568500155</v>
      </c>
      <c r="C1651" s="26" t="s">
        <v>2329</v>
      </c>
      <c r="D1651" s="65">
        <v>43238</v>
      </c>
      <c r="H1651" s="22"/>
      <c r="I1651" s="11"/>
      <c r="J1651" s="11"/>
      <c r="K1651" s="11"/>
      <c r="L1651" s="11"/>
    </row>
    <row r="1652" spans="1:15" ht="14.4">
      <c r="A1652" s="6" t="s">
        <v>2330</v>
      </c>
      <c r="B1652" s="7"/>
      <c r="C1652" s="6" t="s">
        <v>2331</v>
      </c>
      <c r="H1652" s="42">
        <v>45222</v>
      </c>
      <c r="I1652" s="11"/>
      <c r="J1652" s="11"/>
      <c r="K1652" s="11"/>
      <c r="L1652" s="11"/>
    </row>
    <row r="1653" spans="1:15" ht="14.4">
      <c r="A1653" s="13" t="s">
        <v>2332</v>
      </c>
      <c r="B1653" s="13">
        <v>1564699231</v>
      </c>
      <c r="C1653" s="13" t="s">
        <v>2333</v>
      </c>
      <c r="D1653" s="14"/>
      <c r="E1653" s="15">
        <v>41821</v>
      </c>
      <c r="F1653" s="14"/>
      <c r="G1653" s="14"/>
      <c r="H1653" s="10"/>
      <c r="I1653" s="10"/>
      <c r="J1653" s="10"/>
      <c r="K1653" s="10"/>
      <c r="L1653" s="10"/>
      <c r="M1653" s="14"/>
      <c r="N1653" s="14"/>
      <c r="O1653" s="14"/>
    </row>
    <row r="1654" spans="1:15" ht="14.4">
      <c r="A1654" s="14" t="s">
        <v>2334</v>
      </c>
      <c r="B1654" s="14"/>
      <c r="C1654" s="14" t="s">
        <v>2335</v>
      </c>
      <c r="D1654" s="14"/>
      <c r="E1654" s="14"/>
      <c r="F1654" s="14"/>
      <c r="G1654" s="14"/>
      <c r="H1654" s="20">
        <v>41275</v>
      </c>
      <c r="I1654" s="10"/>
      <c r="J1654" s="10"/>
      <c r="K1654" s="10"/>
      <c r="L1654" s="10"/>
      <c r="M1654" s="14"/>
      <c r="N1654" s="14"/>
      <c r="O1654" s="14"/>
    </row>
    <row r="1655" spans="1:15" ht="14.4">
      <c r="A1655" s="14" t="s">
        <v>2336</v>
      </c>
      <c r="B1655" s="14" t="s">
        <v>2337</v>
      </c>
      <c r="C1655" s="19" t="str">
        <f>HYPERLINK("mailto:vidus@hotmail.com","vidus@hotmail.com")</f>
        <v>vidus@hotmail.com</v>
      </c>
      <c r="D1655" s="15">
        <v>40664</v>
      </c>
      <c r="E1655" s="14"/>
      <c r="F1655" s="14"/>
      <c r="G1655" s="14"/>
      <c r="H1655" s="10"/>
      <c r="I1655" s="10"/>
      <c r="J1655" s="10"/>
      <c r="K1655" s="10"/>
      <c r="L1655" s="10"/>
      <c r="M1655" s="14"/>
      <c r="N1655" s="14"/>
      <c r="O1655" s="14"/>
    </row>
    <row r="1656" spans="1:15" ht="14.4">
      <c r="A1656" s="14" t="s">
        <v>2338</v>
      </c>
      <c r="B1656" s="14" t="s">
        <v>2339</v>
      </c>
      <c r="C1656" s="19" t="str">
        <f>HYPERLINK("mailto:vir18gaido@hotmail.com","vir18gaido@hotmail.com")</f>
        <v>vir18gaido@hotmail.com</v>
      </c>
      <c r="D1656" s="15">
        <v>42186</v>
      </c>
      <c r="E1656" s="14"/>
      <c r="F1656" s="14"/>
      <c r="G1656" s="14"/>
      <c r="H1656" s="10"/>
      <c r="I1656" s="10"/>
      <c r="J1656" s="10"/>
      <c r="K1656" s="10"/>
      <c r="L1656" s="10"/>
      <c r="M1656" s="14"/>
      <c r="N1656" s="14"/>
      <c r="O1656" s="14"/>
    </row>
    <row r="1657" spans="1:15" ht="14.4">
      <c r="A1657" s="10" t="s">
        <v>2340</v>
      </c>
      <c r="B1657" s="27" t="s">
        <v>2341</v>
      </c>
      <c r="C1657" s="17" t="s">
        <v>2342</v>
      </c>
      <c r="D1657" s="49">
        <v>43421</v>
      </c>
      <c r="H1657" s="22"/>
      <c r="I1657" s="11"/>
      <c r="J1657" s="11"/>
      <c r="K1657" s="11"/>
      <c r="L1657" s="11"/>
    </row>
    <row r="1658" spans="1:15" ht="14.4">
      <c r="A1658" s="6" t="s">
        <v>2343</v>
      </c>
      <c r="B1658" s="7"/>
      <c r="C1658" s="6"/>
      <c r="H1658" s="9" t="s">
        <v>29</v>
      </c>
      <c r="I1658" s="11"/>
      <c r="J1658" s="11"/>
      <c r="K1658" s="11"/>
      <c r="L1658" s="11"/>
    </row>
    <row r="1659" spans="1:15" ht="14.4">
      <c r="A1659" s="14" t="s">
        <v>2344</v>
      </c>
      <c r="B1659" s="14" t="s">
        <v>2345</v>
      </c>
      <c r="C1659" s="19" t="str">
        <f>HYPERLINK("mailto:vircolores@hotmail.com","vircolores@hotmail.com")</f>
        <v>vircolores@hotmail.com</v>
      </c>
      <c r="D1659" s="15">
        <v>40603</v>
      </c>
      <c r="E1659" s="14"/>
      <c r="F1659" s="14"/>
      <c r="G1659" s="14"/>
      <c r="H1659" s="10"/>
      <c r="I1659" s="10"/>
      <c r="J1659" s="10"/>
      <c r="K1659" s="10"/>
      <c r="L1659" s="10"/>
      <c r="M1659" s="14"/>
      <c r="N1659" s="14"/>
      <c r="O1659" s="14"/>
    </row>
    <row r="1660" spans="1:15" ht="14.4">
      <c r="A1660" s="6" t="s">
        <v>2346</v>
      </c>
      <c r="B1660" s="33" t="s">
        <v>1336</v>
      </c>
      <c r="C1660" s="6" t="s">
        <v>2347</v>
      </c>
      <c r="H1660" s="53" t="s">
        <v>194</v>
      </c>
      <c r="I1660" s="43" t="s">
        <v>247</v>
      </c>
      <c r="J1660" s="11"/>
      <c r="K1660" s="11"/>
      <c r="L1660" s="11"/>
    </row>
    <row r="1661" spans="1:15" ht="14.4">
      <c r="A1661" s="14" t="s">
        <v>2348</v>
      </c>
      <c r="B1661" s="14"/>
      <c r="C1661" s="19" t="str">
        <f>HYPERLINK("mailto:vivianvelar@yahoo.com","vivianvelar@yahoo.com")</f>
        <v>vivianvelar@yahoo.com</v>
      </c>
      <c r="D1661" s="14"/>
      <c r="E1661" s="14"/>
      <c r="F1661" s="14"/>
      <c r="G1661" s="14"/>
      <c r="H1661" s="10"/>
      <c r="I1661" s="10"/>
      <c r="J1661" s="10"/>
      <c r="K1661" s="10"/>
      <c r="L1661" s="10"/>
      <c r="M1661" s="14"/>
      <c r="N1661" s="14"/>
      <c r="O1661" s="14"/>
    </row>
    <row r="1662" spans="1:15" ht="14.4">
      <c r="A1662" s="6" t="s">
        <v>2349</v>
      </c>
      <c r="B1662" s="7"/>
      <c r="C1662" s="6"/>
      <c r="H1662" s="42">
        <v>45954</v>
      </c>
      <c r="I1662" s="11"/>
      <c r="J1662" s="11"/>
      <c r="K1662" s="11"/>
      <c r="L1662" s="11"/>
    </row>
    <row r="1663" spans="1:15" ht="14.4">
      <c r="A1663" s="14" t="s">
        <v>2350</v>
      </c>
      <c r="B1663" s="14" t="s">
        <v>2351</v>
      </c>
      <c r="C1663" s="19" t="str">
        <f>HYPERLINK("mailto:castellanovivi@hotmail.com","castellanovivi@hotmail.com")</f>
        <v>castellanovivi@hotmail.com</v>
      </c>
      <c r="D1663" s="15">
        <v>41579</v>
      </c>
      <c r="E1663" s="14"/>
      <c r="F1663" s="14"/>
      <c r="G1663" s="14"/>
      <c r="H1663" s="10"/>
      <c r="I1663" s="10"/>
      <c r="J1663" s="10"/>
      <c r="K1663" s="10"/>
      <c r="L1663" s="10"/>
      <c r="M1663" s="14"/>
      <c r="N1663" s="14"/>
      <c r="O1663" s="14"/>
    </row>
    <row r="1664" spans="1:15" ht="14.4">
      <c r="A1664" s="13" t="s">
        <v>2352</v>
      </c>
      <c r="B1664" s="13" t="s">
        <v>2353</v>
      </c>
      <c r="C1664" s="13" t="s">
        <v>2354</v>
      </c>
      <c r="D1664" s="14"/>
      <c r="E1664" s="15">
        <v>42248</v>
      </c>
      <c r="F1664" s="14"/>
      <c r="G1664" s="14"/>
      <c r="H1664" s="20">
        <v>42278</v>
      </c>
      <c r="I1664" s="10"/>
      <c r="J1664" s="10"/>
      <c r="K1664" s="10"/>
      <c r="L1664" s="10"/>
      <c r="M1664" s="14"/>
      <c r="N1664" s="14"/>
      <c r="O1664" s="14"/>
    </row>
    <row r="1665" spans="1:17" ht="14.4">
      <c r="A1665" s="6" t="s">
        <v>2355</v>
      </c>
      <c r="B1665" s="32"/>
      <c r="C1665" s="6" t="s">
        <v>2356</v>
      </c>
      <c r="D1665" t="s">
        <v>689</v>
      </c>
      <c r="H1665" s="22"/>
      <c r="I1665" s="11"/>
      <c r="J1665" s="11"/>
      <c r="K1665" s="11"/>
      <c r="L1665" s="11"/>
    </row>
    <row r="1666" spans="1:17" ht="14.4">
      <c r="A1666" s="6" t="s">
        <v>2357</v>
      </c>
      <c r="B1666" s="14"/>
      <c r="C1666" s="6" t="s">
        <v>2358</v>
      </c>
      <c r="D1666" s="14"/>
      <c r="E1666" s="14"/>
      <c r="F1666" s="14"/>
      <c r="G1666" s="6"/>
      <c r="H1666" s="9" t="s">
        <v>54</v>
      </c>
      <c r="I1666" s="23" t="s">
        <v>55</v>
      </c>
      <c r="J1666" s="10" t="s">
        <v>56</v>
      </c>
      <c r="K1666" s="10" t="s">
        <v>91</v>
      </c>
      <c r="L1666" s="10"/>
    </row>
    <row r="1667" spans="1:17" ht="14.4">
      <c r="A1667" s="14" t="s">
        <v>2359</v>
      </c>
      <c r="B1667" s="14"/>
      <c r="C1667" s="19" t="str">
        <f>HYPERLINK("mailto:vivianalaura.alvarez@gmail.com","vivianalaura.alvarez@gmail.com")</f>
        <v>vivianalaura.alvarez@gmail.com</v>
      </c>
      <c r="D1667" s="14"/>
      <c r="E1667" s="15">
        <v>41426</v>
      </c>
      <c r="F1667" s="14"/>
      <c r="G1667" s="14"/>
      <c r="H1667" s="10"/>
      <c r="I1667" s="10"/>
      <c r="J1667" s="10"/>
      <c r="K1667" s="10"/>
      <c r="L1667" s="10"/>
      <c r="M1667" s="14"/>
      <c r="N1667" s="14"/>
      <c r="O1667" s="14"/>
    </row>
    <row r="1668" spans="1:17" ht="14.4">
      <c r="A1668" s="10" t="s">
        <v>2360</v>
      </c>
      <c r="B1668" s="17">
        <v>1568481747</v>
      </c>
      <c r="C1668" s="17" t="s">
        <v>2361</v>
      </c>
      <c r="D1668" s="15">
        <v>42856</v>
      </c>
      <c r="E1668" s="14"/>
      <c r="F1668" s="14"/>
      <c r="G1668" s="14"/>
      <c r="H1668" s="10"/>
      <c r="I1668" s="10"/>
      <c r="J1668" s="10"/>
      <c r="K1668" s="10"/>
      <c r="L1668" s="10"/>
      <c r="M1668" s="15"/>
      <c r="N1668" s="14"/>
      <c r="O1668" s="14"/>
    </row>
    <row r="1669" spans="1:17" ht="14.4">
      <c r="A1669" s="6" t="s">
        <v>2362</v>
      </c>
      <c r="B1669" s="33">
        <v>1164129199</v>
      </c>
      <c r="C1669" s="18" t="s">
        <v>2363</v>
      </c>
      <c r="D1669" s="14"/>
      <c r="E1669" s="14"/>
      <c r="F1669" s="14"/>
      <c r="G1669" s="6"/>
      <c r="H1669" s="9"/>
      <c r="I1669" s="23" t="s">
        <v>236</v>
      </c>
      <c r="J1669" t="s">
        <v>689</v>
      </c>
      <c r="K1669" s="10"/>
      <c r="L1669" s="10"/>
    </row>
    <row r="1670" spans="1:17" ht="14.4">
      <c r="A1670" s="6" t="s">
        <v>2364</v>
      </c>
      <c r="B1670" s="7"/>
      <c r="C1670" s="116" t="s">
        <v>2365</v>
      </c>
      <c r="H1670" s="9" t="s">
        <v>67</v>
      </c>
      <c r="I1670" s="11"/>
      <c r="J1670" s="11"/>
      <c r="K1670" s="11"/>
      <c r="L1670" s="11"/>
    </row>
    <row r="1671" spans="1:17" ht="14.4">
      <c r="A1671" s="6" t="s">
        <v>2366</v>
      </c>
      <c r="B1671" s="7"/>
      <c r="C1671" s="6"/>
      <c r="H1671" s="9"/>
      <c r="I1671" s="11"/>
      <c r="J1671" s="11"/>
      <c r="K1671" s="11"/>
      <c r="L1671" s="11"/>
      <c r="Q1671" s="16">
        <v>45985</v>
      </c>
    </row>
    <row r="1672" spans="1:17" ht="14.4">
      <c r="A1672" s="6" t="s">
        <v>2367</v>
      </c>
      <c r="B1672" s="7"/>
      <c r="C1672" s="6" t="s">
        <v>2368</v>
      </c>
      <c r="H1672" s="9" t="s">
        <v>123</v>
      </c>
      <c r="I1672" s="11"/>
      <c r="J1672" s="11"/>
      <c r="K1672" s="11"/>
      <c r="L1672" s="11"/>
    </row>
    <row r="1673" spans="1:17" ht="14.4">
      <c r="A1673" s="13" t="s">
        <v>2369</v>
      </c>
      <c r="B1673" s="13" t="s">
        <v>2370</v>
      </c>
      <c r="C1673" s="13" t="s">
        <v>2371</v>
      </c>
      <c r="D1673" s="14"/>
      <c r="E1673" s="15">
        <v>42005</v>
      </c>
      <c r="F1673" s="14"/>
      <c r="G1673" s="14"/>
      <c r="H1673" s="10"/>
      <c r="I1673" s="10"/>
      <c r="J1673" s="10"/>
      <c r="K1673" s="10"/>
      <c r="L1673" s="10"/>
      <c r="M1673" s="14"/>
      <c r="N1673" s="14"/>
      <c r="O1673" s="14"/>
    </row>
    <row r="1674" spans="1:17" ht="14.4">
      <c r="A1674" s="44" t="s">
        <v>2372</v>
      </c>
      <c r="B1674" s="44" t="s">
        <v>2373</v>
      </c>
      <c r="C1674" s="14" t="s">
        <v>2374</v>
      </c>
      <c r="D1674" s="14"/>
      <c r="E1674" s="14"/>
      <c r="F1674" s="14"/>
      <c r="G1674" s="14"/>
      <c r="H1674" s="10"/>
      <c r="I1674" s="10"/>
      <c r="J1674" s="10"/>
      <c r="K1674" s="10"/>
      <c r="L1674" s="10"/>
      <c r="M1674" s="15">
        <v>42309</v>
      </c>
      <c r="N1674" s="14"/>
      <c r="O1674" s="14"/>
    </row>
    <row r="1675" spans="1:17" ht="14.4">
      <c r="A1675" s="7" t="s">
        <v>2375</v>
      </c>
      <c r="B1675" s="32">
        <v>1531881385</v>
      </c>
      <c r="C1675" s="117" t="s">
        <v>2376</v>
      </c>
      <c r="D1675" s="65">
        <v>43238</v>
      </c>
      <c r="H1675" s="22"/>
      <c r="I1675" s="11"/>
      <c r="J1675" s="11"/>
      <c r="K1675" s="11"/>
      <c r="L1675" s="11"/>
    </row>
    <row r="1676" spans="1:17" ht="14.4">
      <c r="A1676" s="6" t="s">
        <v>2377</v>
      </c>
      <c r="B1676" s="7"/>
      <c r="C1676" s="6"/>
      <c r="H1676" s="9"/>
      <c r="I1676" s="11"/>
      <c r="J1676" s="11"/>
      <c r="K1676" s="11"/>
      <c r="L1676" s="11"/>
      <c r="Q1676" s="16">
        <v>45985</v>
      </c>
    </row>
    <row r="1677" spans="1:17" ht="14.4">
      <c r="A1677" s="14" t="s">
        <v>2378</v>
      </c>
      <c r="B1677" s="14" t="s">
        <v>2379</v>
      </c>
      <c r="C1677" s="19" t="str">
        <f>HYPERLINK("mailto:mxmnutricion@gmail.com","mxmnutricion@gmail.com")</f>
        <v>mxmnutricion@gmail.com</v>
      </c>
      <c r="D1677" s="15">
        <v>41334</v>
      </c>
      <c r="E1677" s="14"/>
      <c r="F1677" s="15">
        <v>41426</v>
      </c>
      <c r="G1677" s="14"/>
      <c r="H1677" s="10"/>
      <c r="I1677" s="10"/>
      <c r="J1677" s="10"/>
      <c r="K1677" s="10"/>
      <c r="L1677" s="10"/>
      <c r="M1677" s="14"/>
      <c r="N1677" s="14"/>
      <c r="O1677" s="14"/>
    </row>
    <row r="1678" spans="1:17" ht="14.4">
      <c r="A1678" s="6" t="s">
        <v>2380</v>
      </c>
      <c r="B1678" s="7"/>
      <c r="C1678" s="6"/>
      <c r="H1678" s="9" t="s">
        <v>49</v>
      </c>
      <c r="I1678" s="10" t="s">
        <v>50</v>
      </c>
      <c r="J1678" s="11"/>
      <c r="K1678" s="11"/>
      <c r="L1678" s="11"/>
    </row>
    <row r="1679" spans="1:17" ht="14.4">
      <c r="A1679" s="9" t="s">
        <v>2380</v>
      </c>
      <c r="B1679" s="7"/>
      <c r="C1679" s="6"/>
      <c r="H1679" s="9"/>
      <c r="I1679" s="11"/>
      <c r="J1679" s="10" t="s">
        <v>51</v>
      </c>
      <c r="K1679" s="11"/>
      <c r="L1679" s="11"/>
    </row>
    <row r="1680" spans="1:17" ht="14.4">
      <c r="A1680" s="14" t="s">
        <v>2381</v>
      </c>
      <c r="B1680" s="13">
        <v>1555892067</v>
      </c>
      <c r="C1680" s="14" t="s">
        <v>2382</v>
      </c>
      <c r="D1680" s="14"/>
      <c r="E1680" s="14"/>
      <c r="F1680" s="14"/>
      <c r="G1680" s="14"/>
      <c r="H1680" s="10"/>
      <c r="I1680" s="10"/>
      <c r="J1680" s="10"/>
      <c r="K1680" s="10"/>
      <c r="L1680" s="10"/>
      <c r="M1680" s="14"/>
      <c r="N1680" s="14"/>
      <c r="O1680" s="14"/>
    </row>
    <row r="1681" spans="1:15" ht="14.4">
      <c r="A1681" s="6" t="s">
        <v>2383</v>
      </c>
      <c r="B1681" s="7"/>
      <c r="C1681" s="7"/>
      <c r="H1681" s="9" t="s">
        <v>94</v>
      </c>
      <c r="I1681" s="9" t="s">
        <v>123</v>
      </c>
      <c r="J1681" s="11" t="s">
        <v>124</v>
      </c>
      <c r="K1681" s="11"/>
      <c r="L1681" s="11"/>
    </row>
    <row r="1682" spans="1:15" ht="14.4">
      <c r="A1682" s="6" t="s">
        <v>2383</v>
      </c>
      <c r="B1682" s="7"/>
      <c r="C1682" s="6"/>
      <c r="H1682" s="9" t="s">
        <v>94</v>
      </c>
      <c r="I1682" s="11"/>
      <c r="J1682" s="11"/>
      <c r="K1682" s="11"/>
      <c r="L1682" s="11"/>
    </row>
    <row r="1683" spans="1:15" ht="14.4">
      <c r="A1683" s="14" t="s">
        <v>2384</v>
      </c>
      <c r="B1683" s="13">
        <v>1568673600</v>
      </c>
      <c r="C1683" s="19" t="str">
        <f>HYPERLINK("mailto:yamila_santillan@hotmail.com","yamila_santillan@hotmail.com")</f>
        <v>yamila_santillan@hotmail.com</v>
      </c>
      <c r="D1683" s="15">
        <v>41395</v>
      </c>
      <c r="E1683" s="14"/>
      <c r="F1683" s="14"/>
      <c r="G1683" s="14"/>
      <c r="H1683" s="10"/>
      <c r="I1683" s="10"/>
      <c r="J1683" s="10"/>
      <c r="K1683" s="10"/>
      <c r="L1683" s="10"/>
      <c r="M1683" s="14"/>
      <c r="N1683" s="14"/>
      <c r="O1683" s="14"/>
    </row>
    <row r="1684" spans="1:15" ht="14.4">
      <c r="A1684" s="14" t="s">
        <v>2385</v>
      </c>
      <c r="B1684" s="47"/>
      <c r="C1684" s="19" t="str">
        <f>HYPERLINK("mailto:y_a_m_i_87@hotmail.com","y_a_m_i_87@hotmail.com")</f>
        <v>y_a_m_i_87@hotmail.com</v>
      </c>
      <c r="D1684" s="14"/>
      <c r="E1684" s="15">
        <v>41275</v>
      </c>
      <c r="F1684" s="14"/>
      <c r="G1684" s="14"/>
      <c r="H1684" s="10"/>
      <c r="I1684" s="10"/>
      <c r="J1684" s="10"/>
      <c r="K1684" s="10"/>
      <c r="L1684" s="10"/>
      <c r="M1684" s="14"/>
      <c r="N1684" s="14"/>
      <c r="O1684" s="14"/>
    </row>
    <row r="1685" spans="1:15" ht="14.4">
      <c r="A1685" s="14" t="s">
        <v>2386</v>
      </c>
      <c r="B1685" s="14" t="s">
        <v>2387</v>
      </c>
      <c r="C1685" s="19" t="str">
        <f>HYPERLINK("mailto:yamila_ugalde@hotmail.com","yamila_ugalde@hotmail.com")</f>
        <v>yamila_ugalde@hotmail.com</v>
      </c>
      <c r="D1685" s="15">
        <v>40603</v>
      </c>
      <c r="E1685" s="14"/>
      <c r="F1685" s="15">
        <v>40756</v>
      </c>
      <c r="G1685" s="14"/>
      <c r="H1685" s="10"/>
      <c r="I1685" s="10"/>
      <c r="J1685" s="10"/>
      <c r="K1685" s="10"/>
      <c r="L1685" s="10"/>
      <c r="M1685" s="14"/>
      <c r="N1685" s="14"/>
      <c r="O1685" s="14"/>
    </row>
    <row r="1686" spans="1:15" ht="14.4">
      <c r="A1686" s="14" t="s">
        <v>2388</v>
      </c>
      <c r="B1686" s="14" t="s">
        <v>2389</v>
      </c>
      <c r="C1686" s="14" t="s">
        <v>2390</v>
      </c>
      <c r="D1686" s="14"/>
      <c r="E1686" s="14"/>
      <c r="F1686" s="14"/>
      <c r="G1686" s="14"/>
      <c r="H1686" s="10"/>
      <c r="I1686" s="10"/>
      <c r="J1686" s="10"/>
      <c r="K1686" s="10"/>
      <c r="L1686" s="10"/>
      <c r="M1686" s="15">
        <v>42125</v>
      </c>
      <c r="N1686" s="14"/>
      <c r="O1686" s="14"/>
    </row>
    <row r="1687" spans="1:15" ht="14.4">
      <c r="A1687" s="6" t="s">
        <v>2391</v>
      </c>
      <c r="B1687" s="7"/>
      <c r="C1687" s="7"/>
      <c r="H1687" s="9" t="s">
        <v>23</v>
      </c>
      <c r="I1687" s="11"/>
      <c r="J1687" s="11"/>
      <c r="K1687" s="11"/>
      <c r="L1687" s="11"/>
    </row>
    <row r="1688" spans="1:15" ht="14.4">
      <c r="A1688" s="9" t="s">
        <v>2391</v>
      </c>
      <c r="B1688" s="7"/>
      <c r="C1688" s="7"/>
      <c r="H1688" s="9"/>
      <c r="I1688" s="11" t="s">
        <v>24</v>
      </c>
      <c r="J1688" s="11"/>
      <c r="K1688" s="11"/>
      <c r="L1688" s="11"/>
    </row>
    <row r="1689" spans="1:15" ht="14.4">
      <c r="A1689" s="13" t="s">
        <v>2392</v>
      </c>
      <c r="B1689" s="13" t="s">
        <v>2393</v>
      </c>
      <c r="C1689" s="14" t="s">
        <v>2394</v>
      </c>
      <c r="D1689" s="14"/>
      <c r="E1689" s="14"/>
      <c r="F1689" s="14"/>
      <c r="G1689" s="14"/>
      <c r="H1689" s="20">
        <v>42095</v>
      </c>
      <c r="I1689" s="10"/>
      <c r="J1689" s="10"/>
      <c r="K1689" s="10"/>
      <c r="L1689" s="10"/>
      <c r="M1689" s="15">
        <v>42064</v>
      </c>
      <c r="N1689" s="14"/>
      <c r="O1689" s="14"/>
    </row>
    <row r="1690" spans="1:15" ht="14.4">
      <c r="A1690" s="61" t="s">
        <v>2395</v>
      </c>
      <c r="B1690" s="7"/>
      <c r="C1690" s="9" t="s">
        <v>2396</v>
      </c>
      <c r="H1690" s="17" t="s">
        <v>19</v>
      </c>
      <c r="I1690" s="11"/>
      <c r="J1690" s="11"/>
      <c r="K1690" s="11"/>
      <c r="L1690" s="11"/>
    </row>
    <row r="1691" spans="1:15" ht="14.4">
      <c r="A1691" s="13" t="s">
        <v>2397</v>
      </c>
      <c r="B1691" s="13" t="s">
        <v>2398</v>
      </c>
      <c r="C1691" s="13" t="s">
        <v>2399</v>
      </c>
      <c r="D1691" s="14"/>
      <c r="E1691" s="15">
        <v>42005</v>
      </c>
      <c r="F1691" s="14"/>
      <c r="G1691" s="14"/>
      <c r="H1691" s="10"/>
      <c r="I1691" s="10"/>
      <c r="J1691" s="10"/>
      <c r="K1691" s="10"/>
      <c r="L1691" s="10"/>
      <c r="M1691" s="14"/>
      <c r="N1691" s="14"/>
      <c r="O1691" s="14"/>
    </row>
    <row r="1692" spans="1:15" ht="14.4">
      <c r="A1692" s="6" t="s">
        <v>2400</v>
      </c>
      <c r="B1692" s="7"/>
      <c r="C1692" s="7"/>
      <c r="H1692" s="9" t="s">
        <v>65</v>
      </c>
      <c r="I1692" s="11"/>
      <c r="J1692" s="11"/>
      <c r="K1692" s="11"/>
      <c r="L1692" s="11"/>
    </row>
    <row r="1693" spans="1:15" ht="14.4">
      <c r="A1693" s="14" t="s">
        <v>2401</v>
      </c>
      <c r="B1693" s="13" t="s">
        <v>2402</v>
      </c>
      <c r="C1693" s="19" t="str">
        <f>HYPERLINK("mailto:yayogon@yahoo.com","yayogon@yahoo.com")</f>
        <v>yayogon@yahoo.com</v>
      </c>
      <c r="D1693" s="14"/>
      <c r="E1693" s="14"/>
      <c r="F1693" s="14"/>
      <c r="G1693" s="14"/>
      <c r="H1693" s="20">
        <v>41579</v>
      </c>
      <c r="I1693" s="10"/>
      <c r="J1693" s="10"/>
      <c r="K1693" s="10"/>
      <c r="L1693" s="10"/>
      <c r="M1693" s="15">
        <v>42064</v>
      </c>
      <c r="N1693" s="14"/>
      <c r="O1693" s="14"/>
    </row>
    <row r="1694" spans="1:15" ht="14.4">
      <c r="A1694" s="9" t="s">
        <v>2403</v>
      </c>
      <c r="B1694" s="7"/>
      <c r="C1694" s="6"/>
      <c r="H1694" s="9" t="s">
        <v>29</v>
      </c>
      <c r="I1694" s="11"/>
      <c r="J1694" s="11"/>
      <c r="K1694" s="11"/>
      <c r="L1694" s="11"/>
    </row>
    <row r="1695" spans="1:15" ht="14.4">
      <c r="A1695" s="9" t="s">
        <v>2403</v>
      </c>
      <c r="B1695" s="7"/>
      <c r="C1695" s="6"/>
      <c r="H1695" s="9"/>
      <c r="I1695" s="11"/>
      <c r="J1695" s="10" t="s">
        <v>31</v>
      </c>
      <c r="K1695" s="11"/>
      <c r="L1695" s="11"/>
    </row>
    <row r="1696" spans="1:15" ht="14.4">
      <c r="A1696" s="6"/>
      <c r="B1696" s="7"/>
      <c r="C1696" s="6"/>
      <c r="H1696" s="9"/>
      <c r="I1696" s="11"/>
      <c r="J1696" s="11"/>
      <c r="K1696" s="11"/>
      <c r="L1696" s="11"/>
    </row>
    <row r="1697" spans="1:12" ht="14.4">
      <c r="A1697" s="6"/>
      <c r="B1697" s="7"/>
      <c r="C1697" s="6"/>
      <c r="H1697" s="9"/>
      <c r="I1697" s="11"/>
      <c r="J1697" s="11"/>
      <c r="K1697" s="11"/>
      <c r="L1697" s="11"/>
    </row>
    <row r="1698" spans="1:12" ht="14.4">
      <c r="A1698" s="6"/>
      <c r="B1698" s="7"/>
      <c r="C1698" s="6"/>
      <c r="H1698" s="9"/>
      <c r="I1698" s="11"/>
      <c r="J1698" s="11"/>
      <c r="K1698" s="11"/>
      <c r="L1698" s="11"/>
    </row>
    <row r="1699" spans="1:12" ht="14.4">
      <c r="A1699" s="6"/>
      <c r="B1699" s="7"/>
      <c r="C1699" s="6"/>
      <c r="H1699" s="9"/>
      <c r="I1699" s="11"/>
      <c r="J1699" s="11"/>
      <c r="K1699" s="11"/>
      <c r="L1699" s="11"/>
    </row>
    <row r="1700" spans="1:12" ht="14.4">
      <c r="A1700" s="6"/>
      <c r="B1700" s="7"/>
      <c r="C1700" s="6"/>
      <c r="H1700" s="9"/>
      <c r="I1700" s="11"/>
      <c r="J1700" s="11"/>
      <c r="K1700" s="11"/>
      <c r="L1700" s="11"/>
    </row>
    <row r="1701" spans="1:12" ht="14.4">
      <c r="A1701" s="6"/>
      <c r="B1701" s="7"/>
      <c r="C1701" s="6"/>
      <c r="H1701" s="9"/>
      <c r="I1701" s="11"/>
      <c r="J1701" s="11"/>
      <c r="K1701" s="11"/>
      <c r="L1701" s="11"/>
    </row>
    <row r="1702" spans="1:12" ht="14.4">
      <c r="A1702" s="6"/>
      <c r="B1702" s="7"/>
      <c r="C1702" s="6"/>
      <c r="H1702" s="9"/>
      <c r="I1702" s="11"/>
      <c r="J1702" s="11"/>
      <c r="K1702" s="11"/>
      <c r="L1702" s="11"/>
    </row>
    <row r="1703" spans="1:12" ht="14.4">
      <c r="A1703" s="6"/>
      <c r="B1703" s="7"/>
      <c r="C1703" s="6"/>
      <c r="H1703" s="9"/>
      <c r="I1703" s="11"/>
      <c r="J1703" s="11"/>
      <c r="K1703" s="11"/>
      <c r="L1703" s="11"/>
    </row>
    <row r="1704" spans="1:12" ht="14.4">
      <c r="A1704" s="6"/>
      <c r="B1704" s="7"/>
      <c r="C1704" s="6"/>
      <c r="H1704" s="9"/>
      <c r="I1704" s="11"/>
      <c r="J1704" s="11"/>
      <c r="K1704" s="11"/>
      <c r="L1704" s="11"/>
    </row>
    <row r="1705" spans="1:12" ht="14.4">
      <c r="A1705" s="6"/>
      <c r="B1705" s="7"/>
      <c r="C1705" s="6"/>
      <c r="H1705" s="9"/>
      <c r="I1705" s="11"/>
      <c r="J1705" s="11"/>
      <c r="K1705" s="11"/>
      <c r="L1705" s="11"/>
    </row>
    <row r="1706" spans="1:12" ht="14.4">
      <c r="A1706" s="6"/>
      <c r="B1706" s="7"/>
      <c r="C1706" s="6"/>
      <c r="H1706" s="9"/>
      <c r="I1706" s="11"/>
      <c r="J1706" s="11"/>
      <c r="K1706" s="11"/>
      <c r="L1706" s="11"/>
    </row>
    <row r="1707" spans="1:12" ht="14.4">
      <c r="A1707" s="6"/>
      <c r="B1707" s="7"/>
      <c r="C1707" s="6"/>
      <c r="H1707" s="9"/>
      <c r="I1707" s="11"/>
      <c r="J1707" s="11"/>
      <c r="K1707" s="11"/>
      <c r="L1707" s="11"/>
    </row>
    <row r="1708" spans="1:12" ht="14.4">
      <c r="A1708" s="6"/>
      <c r="B1708" s="7"/>
      <c r="C1708" s="6"/>
      <c r="H1708" s="9"/>
      <c r="I1708" s="11"/>
      <c r="J1708" s="11"/>
      <c r="K1708" s="11"/>
      <c r="L1708" s="11"/>
    </row>
    <row r="1709" spans="1:12" ht="14.4">
      <c r="A1709" s="6"/>
      <c r="B1709" s="7"/>
      <c r="C1709" s="6"/>
      <c r="H1709" s="9"/>
      <c r="I1709" s="11"/>
      <c r="J1709" s="11"/>
      <c r="K1709" s="11"/>
      <c r="L1709" s="11"/>
    </row>
    <row r="1710" spans="1:12" ht="14.4">
      <c r="A1710" s="6"/>
      <c r="B1710" s="7"/>
      <c r="C1710" s="6"/>
      <c r="H1710" s="9"/>
      <c r="I1710" s="11"/>
      <c r="J1710" s="11"/>
      <c r="K1710" s="11"/>
      <c r="L1710" s="11"/>
    </row>
    <row r="1711" spans="1:12" ht="14.4">
      <c r="A1711" s="6"/>
      <c r="B1711" s="7"/>
      <c r="C1711" s="6"/>
      <c r="H1711" s="9"/>
      <c r="I1711" s="11"/>
      <c r="J1711" s="11"/>
      <c r="K1711" s="11"/>
      <c r="L1711" s="11"/>
    </row>
    <row r="1712" spans="1:12" ht="14.4">
      <c r="A1712" s="6"/>
      <c r="B1712" s="7"/>
      <c r="C1712" s="6"/>
      <c r="H1712" s="9"/>
      <c r="I1712" s="11"/>
      <c r="J1712" s="11"/>
      <c r="K1712" s="11"/>
      <c r="L1712" s="11"/>
    </row>
    <row r="1713" spans="1:12" ht="14.4">
      <c r="A1713" s="6"/>
      <c r="B1713" s="7"/>
      <c r="C1713" s="6"/>
      <c r="H1713" s="9"/>
      <c r="I1713" s="11"/>
      <c r="J1713" s="11"/>
      <c r="K1713" s="11"/>
      <c r="L1713" s="11"/>
    </row>
    <row r="1714" spans="1:12" ht="14.4">
      <c r="A1714" s="6"/>
      <c r="B1714" s="7"/>
      <c r="C1714" s="6"/>
      <c r="H1714" s="9"/>
      <c r="I1714" s="11"/>
      <c r="J1714" s="11"/>
      <c r="K1714" s="11"/>
      <c r="L1714" s="11"/>
    </row>
    <row r="1715" spans="1:12" ht="14.4">
      <c r="A1715" s="6"/>
      <c r="B1715" s="7"/>
      <c r="C1715" s="6"/>
      <c r="H1715" s="9"/>
      <c r="I1715" s="11"/>
      <c r="J1715" s="11"/>
      <c r="K1715" s="11"/>
      <c r="L1715" s="11"/>
    </row>
    <row r="1716" spans="1:12" ht="14.4">
      <c r="A1716" s="6"/>
      <c r="B1716" s="7"/>
      <c r="C1716" s="6"/>
      <c r="H1716" s="9"/>
      <c r="I1716" s="11"/>
      <c r="J1716" s="11"/>
      <c r="K1716" s="11"/>
      <c r="L1716" s="11"/>
    </row>
    <row r="1717" spans="1:12" ht="14.4">
      <c r="A1717" s="6"/>
      <c r="B1717" s="7"/>
      <c r="C1717" s="6"/>
      <c r="H1717" s="9"/>
      <c r="I1717" s="11"/>
      <c r="J1717" s="11"/>
      <c r="K1717" s="11"/>
      <c r="L1717" s="11"/>
    </row>
    <row r="1718" spans="1:12" ht="14.4">
      <c r="A1718" s="6"/>
      <c r="B1718" s="7"/>
      <c r="C1718" s="6"/>
      <c r="H1718" s="9"/>
      <c r="I1718" s="11"/>
      <c r="J1718" s="11"/>
      <c r="K1718" s="11"/>
      <c r="L1718" s="11"/>
    </row>
    <row r="1719" spans="1:12" ht="14.4">
      <c r="A1719" s="6"/>
      <c r="B1719" s="7"/>
      <c r="C1719" s="6"/>
      <c r="H1719" s="9"/>
      <c r="I1719" s="11"/>
      <c r="J1719" s="11"/>
      <c r="K1719" s="11"/>
      <c r="L1719" s="11"/>
    </row>
    <row r="1720" spans="1:12" ht="14.4">
      <c r="A1720" s="6"/>
      <c r="B1720" s="7"/>
      <c r="C1720" s="6"/>
      <c r="H1720" s="9"/>
      <c r="I1720" s="11"/>
      <c r="J1720" s="11"/>
      <c r="K1720" s="11"/>
      <c r="L1720" s="11"/>
    </row>
    <row r="1721" spans="1:12" ht="14.4">
      <c r="A1721" s="6"/>
      <c r="B1721" s="7"/>
      <c r="C1721" s="6"/>
      <c r="H1721" s="9"/>
      <c r="I1721" s="11"/>
      <c r="J1721" s="11"/>
      <c r="K1721" s="11"/>
      <c r="L1721" s="11"/>
    </row>
    <row r="1722" spans="1:12" ht="14.4">
      <c r="A1722" s="6"/>
      <c r="B1722" s="7"/>
      <c r="C1722" s="6"/>
      <c r="H1722" s="9"/>
      <c r="I1722" s="11"/>
      <c r="J1722" s="11"/>
      <c r="K1722" s="11"/>
      <c r="L1722" s="11"/>
    </row>
    <row r="1723" spans="1:12" ht="14.4">
      <c r="A1723" s="6"/>
      <c r="B1723" s="7"/>
      <c r="C1723" s="6"/>
      <c r="H1723" s="9"/>
      <c r="I1723" s="11"/>
      <c r="J1723" s="11"/>
      <c r="K1723" s="11"/>
      <c r="L1723" s="11"/>
    </row>
    <row r="1724" spans="1:12" ht="14.4">
      <c r="A1724" s="6"/>
      <c r="B1724" s="7"/>
      <c r="C1724" s="6"/>
      <c r="H1724" s="9"/>
      <c r="I1724" s="11"/>
      <c r="J1724" s="11"/>
      <c r="K1724" s="11"/>
      <c r="L1724" s="11"/>
    </row>
    <row r="1725" spans="1:12" ht="14.4">
      <c r="A1725" s="6"/>
      <c r="B1725" s="7"/>
      <c r="C1725" s="6"/>
      <c r="H1725" s="9"/>
      <c r="I1725" s="11"/>
      <c r="J1725" s="11"/>
      <c r="K1725" s="11"/>
      <c r="L1725" s="11"/>
    </row>
    <row r="1726" spans="1:12" ht="14.4">
      <c r="A1726" s="6"/>
      <c r="B1726" s="7"/>
      <c r="C1726" s="6"/>
      <c r="H1726" s="9"/>
      <c r="I1726" s="11"/>
      <c r="J1726" s="11"/>
      <c r="K1726" s="11"/>
      <c r="L1726" s="11"/>
    </row>
    <row r="1727" spans="1:12" ht="14.4">
      <c r="A1727" s="6"/>
      <c r="B1727" s="7"/>
      <c r="C1727" s="6"/>
      <c r="H1727" s="9"/>
      <c r="I1727" s="11"/>
      <c r="J1727" s="11"/>
      <c r="K1727" s="11"/>
      <c r="L1727" s="11"/>
    </row>
    <row r="1728" spans="1:12" ht="14.4">
      <c r="A1728" s="6"/>
      <c r="B1728" s="7"/>
      <c r="C1728" s="6"/>
      <c r="H1728" s="9"/>
      <c r="I1728" s="11"/>
      <c r="J1728" s="11"/>
      <c r="K1728" s="11"/>
      <c r="L1728" s="11"/>
    </row>
    <row r="1729" spans="1:12" ht="14.4">
      <c r="A1729" s="6"/>
      <c r="B1729" s="7"/>
      <c r="C1729" s="6"/>
      <c r="H1729" s="9"/>
      <c r="I1729" s="11"/>
      <c r="J1729" s="11"/>
      <c r="K1729" s="11"/>
      <c r="L1729" s="11"/>
    </row>
    <row r="1730" spans="1:12" ht="14.4">
      <c r="A1730" s="6"/>
      <c r="B1730" s="7"/>
      <c r="C1730" s="6"/>
      <c r="H1730" s="9"/>
      <c r="I1730" s="11"/>
      <c r="J1730" s="11"/>
      <c r="K1730" s="11"/>
      <c r="L1730" s="11"/>
    </row>
    <row r="1731" spans="1:12" ht="14.4">
      <c r="A1731" s="6"/>
      <c r="B1731" s="7"/>
      <c r="C1731" s="6"/>
      <c r="H1731" s="9"/>
      <c r="I1731" s="11"/>
      <c r="J1731" s="11"/>
      <c r="K1731" s="11"/>
      <c r="L1731" s="11"/>
    </row>
    <row r="1732" spans="1:12" ht="14.4">
      <c r="A1732" s="6"/>
      <c r="B1732" s="7"/>
      <c r="C1732" s="6"/>
      <c r="H1732" s="9"/>
      <c r="I1732" s="11"/>
      <c r="J1732" s="11"/>
      <c r="K1732" s="11"/>
      <c r="L1732" s="11"/>
    </row>
    <row r="1733" spans="1:12" ht="14.4">
      <c r="A1733" s="6"/>
      <c r="B1733" s="7"/>
      <c r="C1733" s="6"/>
      <c r="H1733" s="9"/>
      <c r="I1733" s="11"/>
      <c r="J1733" s="11"/>
      <c r="K1733" s="11"/>
      <c r="L1733" s="11"/>
    </row>
    <row r="1734" spans="1:12" ht="14.4">
      <c r="A1734" s="6"/>
      <c r="B1734" s="7"/>
      <c r="C1734" s="6"/>
      <c r="H1734" s="9"/>
      <c r="I1734" s="11"/>
      <c r="J1734" s="11"/>
      <c r="K1734" s="11"/>
      <c r="L1734" s="11"/>
    </row>
    <row r="1735" spans="1:12" ht="14.4">
      <c r="A1735" s="6"/>
      <c r="B1735" s="7"/>
      <c r="C1735" s="6"/>
      <c r="H1735" s="9"/>
      <c r="I1735" s="11"/>
      <c r="J1735" s="11"/>
      <c r="K1735" s="11"/>
      <c r="L1735" s="11"/>
    </row>
    <row r="1736" spans="1:12" ht="14.4">
      <c r="A1736" s="6"/>
      <c r="B1736" s="7"/>
      <c r="C1736" s="6"/>
      <c r="H1736" s="9"/>
      <c r="I1736" s="11"/>
      <c r="J1736" s="11"/>
      <c r="K1736" s="11"/>
      <c r="L1736" s="11"/>
    </row>
    <row r="1737" spans="1:12" ht="14.4">
      <c r="A1737" s="6"/>
      <c r="B1737" s="7"/>
      <c r="C1737" s="6"/>
      <c r="H1737" s="9"/>
      <c r="I1737" s="11"/>
      <c r="J1737" s="11"/>
      <c r="K1737" s="11"/>
      <c r="L1737" s="11"/>
    </row>
    <row r="1738" spans="1:12" ht="14.4">
      <c r="A1738" s="6"/>
      <c r="B1738" s="7"/>
      <c r="C1738" s="6"/>
      <c r="H1738" s="9"/>
      <c r="I1738" s="11"/>
      <c r="J1738" s="11"/>
      <c r="K1738" s="11"/>
      <c r="L1738" s="11"/>
    </row>
    <row r="1739" spans="1:12" ht="14.4">
      <c r="A1739" s="6"/>
      <c r="B1739" s="7"/>
      <c r="C1739" s="6"/>
      <c r="H1739" s="9"/>
      <c r="I1739" s="11"/>
      <c r="J1739" s="11"/>
      <c r="K1739" s="11"/>
      <c r="L1739" s="11"/>
    </row>
    <row r="1740" spans="1:12" ht="14.4">
      <c r="A1740" s="6"/>
      <c r="B1740" s="7"/>
      <c r="C1740" s="6"/>
      <c r="H1740" s="9"/>
      <c r="I1740" s="11"/>
      <c r="J1740" s="11"/>
      <c r="K1740" s="11"/>
      <c r="L1740" s="11"/>
    </row>
    <row r="1741" spans="1:12" ht="14.4">
      <c r="A1741" s="6"/>
      <c r="B1741" s="7"/>
      <c r="C1741" s="6"/>
      <c r="H1741" s="9"/>
      <c r="I1741" s="11"/>
      <c r="J1741" s="11"/>
      <c r="K1741" s="11"/>
      <c r="L1741" s="11"/>
    </row>
    <row r="1742" spans="1:12" ht="14.4">
      <c r="A1742" s="6"/>
      <c r="B1742" s="7"/>
      <c r="C1742" s="6"/>
      <c r="H1742" s="9"/>
      <c r="I1742" s="11"/>
      <c r="J1742" s="11"/>
      <c r="K1742" s="11"/>
      <c r="L1742" s="11"/>
    </row>
    <row r="1743" spans="1:12" ht="14.4">
      <c r="A1743" s="6"/>
      <c r="B1743" s="7"/>
      <c r="C1743" s="6"/>
      <c r="H1743" s="9"/>
      <c r="I1743" s="11"/>
      <c r="J1743" s="11"/>
      <c r="K1743" s="11"/>
      <c r="L1743" s="11"/>
    </row>
    <row r="1744" spans="1:12" ht="14.4">
      <c r="A1744" s="6"/>
      <c r="B1744" s="7"/>
      <c r="C1744" s="6"/>
      <c r="H1744" s="9"/>
      <c r="I1744" s="11"/>
      <c r="J1744" s="11"/>
      <c r="K1744" s="11"/>
      <c r="L1744" s="11"/>
    </row>
    <row r="1745" spans="1:12" ht="14.4">
      <c r="A1745" s="6"/>
      <c r="B1745" s="7"/>
      <c r="C1745" s="6"/>
      <c r="H1745" s="9"/>
      <c r="I1745" s="11"/>
      <c r="J1745" s="11"/>
      <c r="K1745" s="11"/>
      <c r="L1745" s="11"/>
    </row>
    <row r="1746" spans="1:12" ht="14.4">
      <c r="A1746" s="6"/>
      <c r="B1746" s="7"/>
      <c r="C1746" s="6"/>
      <c r="H1746" s="9"/>
      <c r="I1746" s="11"/>
      <c r="J1746" s="11"/>
      <c r="K1746" s="11"/>
      <c r="L1746" s="11"/>
    </row>
    <row r="1747" spans="1:12" ht="14.4">
      <c r="A1747" s="6"/>
      <c r="B1747" s="7"/>
      <c r="C1747" s="6"/>
      <c r="H1747" s="9"/>
      <c r="I1747" s="11"/>
      <c r="J1747" s="11"/>
      <c r="K1747" s="11"/>
      <c r="L1747" s="11"/>
    </row>
    <row r="1748" spans="1:12" ht="14.4">
      <c r="A1748" s="6"/>
      <c r="B1748" s="7"/>
      <c r="C1748" s="6"/>
      <c r="H1748" s="9"/>
      <c r="I1748" s="11"/>
      <c r="J1748" s="11"/>
      <c r="K1748" s="11"/>
      <c r="L1748" s="11"/>
    </row>
    <row r="1749" spans="1:12" ht="14.4">
      <c r="A1749" s="6"/>
      <c r="B1749" s="7"/>
      <c r="C1749" s="6"/>
      <c r="H1749" s="9"/>
      <c r="I1749" s="11"/>
      <c r="J1749" s="11"/>
      <c r="K1749" s="11"/>
      <c r="L1749" s="11"/>
    </row>
    <row r="1750" spans="1:12" ht="14.4">
      <c r="A1750" s="6"/>
      <c r="B1750" s="7"/>
      <c r="C1750" s="6"/>
      <c r="H1750" s="9"/>
      <c r="I1750" s="11"/>
      <c r="J1750" s="11"/>
      <c r="K1750" s="11"/>
      <c r="L1750" s="11"/>
    </row>
    <row r="1751" spans="1:12" ht="14.4">
      <c r="A1751" s="6"/>
      <c r="B1751" s="7"/>
      <c r="C1751" s="6"/>
      <c r="H1751" s="9"/>
      <c r="I1751" s="11"/>
      <c r="J1751" s="11"/>
      <c r="K1751" s="11"/>
      <c r="L1751" s="11"/>
    </row>
    <row r="1752" spans="1:12" ht="14.4">
      <c r="A1752" s="6"/>
      <c r="B1752" s="7"/>
      <c r="C1752" s="6"/>
      <c r="H1752" s="9"/>
      <c r="I1752" s="11"/>
      <c r="J1752" s="11"/>
      <c r="K1752" s="11"/>
      <c r="L1752" s="11"/>
    </row>
    <row r="1753" spans="1:12" ht="14.4">
      <c r="A1753" s="6"/>
      <c r="B1753" s="7"/>
      <c r="C1753" s="6"/>
      <c r="H1753" s="9"/>
      <c r="I1753" s="11"/>
      <c r="J1753" s="11"/>
      <c r="K1753" s="11"/>
      <c r="L1753" s="11"/>
    </row>
    <row r="1754" spans="1:12" ht="14.4">
      <c r="A1754" s="6"/>
      <c r="B1754" s="7"/>
      <c r="C1754" s="6"/>
      <c r="H1754" s="9"/>
      <c r="I1754" s="11"/>
      <c r="J1754" s="11"/>
      <c r="K1754" s="11"/>
      <c r="L1754" s="11"/>
    </row>
    <row r="1755" spans="1:12" ht="14.4">
      <c r="A1755" s="6"/>
      <c r="B1755" s="7"/>
      <c r="C1755" s="6"/>
      <c r="H1755" s="9"/>
      <c r="I1755" s="11"/>
      <c r="J1755" s="11"/>
      <c r="K1755" s="11"/>
      <c r="L1755" s="11"/>
    </row>
    <row r="1756" spans="1:12" ht="14.4">
      <c r="A1756" s="6"/>
      <c r="B1756" s="7"/>
      <c r="C1756" s="6"/>
      <c r="H1756" s="9"/>
      <c r="I1756" s="11"/>
      <c r="J1756" s="11"/>
      <c r="K1756" s="11"/>
      <c r="L1756" s="11"/>
    </row>
    <row r="1757" spans="1:12" ht="14.4">
      <c r="A1757" s="6"/>
      <c r="B1757" s="7"/>
      <c r="C1757" s="6"/>
      <c r="H1757" s="9"/>
      <c r="I1757" s="11"/>
      <c r="J1757" s="11"/>
      <c r="K1757" s="11"/>
      <c r="L1757" s="11"/>
    </row>
    <row r="1758" spans="1:12" ht="14.4">
      <c r="A1758" s="6"/>
      <c r="B1758" s="7"/>
      <c r="C1758" s="6"/>
      <c r="H1758" s="9"/>
      <c r="I1758" s="11"/>
      <c r="J1758" s="11"/>
      <c r="K1758" s="11"/>
      <c r="L1758" s="11"/>
    </row>
    <row r="1759" spans="1:12" ht="14.4">
      <c r="A1759" s="6"/>
      <c r="B1759" s="7"/>
      <c r="C1759" s="6"/>
      <c r="H1759" s="9"/>
      <c r="I1759" s="11"/>
      <c r="J1759" s="11"/>
      <c r="K1759" s="11"/>
      <c r="L1759" s="11"/>
    </row>
    <row r="1760" spans="1:12" ht="14.4">
      <c r="A1760" s="6"/>
      <c r="B1760" s="7"/>
      <c r="C1760" s="6"/>
      <c r="H1760" s="9"/>
      <c r="I1760" s="11"/>
      <c r="J1760" s="11"/>
      <c r="K1760" s="11"/>
      <c r="L1760" s="11"/>
    </row>
    <row r="1761" spans="1:12" ht="14.4">
      <c r="A1761" s="6"/>
      <c r="B1761" s="7"/>
      <c r="C1761" s="6"/>
      <c r="H1761" s="9"/>
      <c r="I1761" s="11"/>
      <c r="J1761" s="11"/>
      <c r="K1761" s="11"/>
      <c r="L1761" s="11"/>
    </row>
    <row r="1762" spans="1:12" ht="14.4">
      <c r="A1762" s="6"/>
      <c r="B1762" s="7"/>
      <c r="C1762" s="6"/>
      <c r="H1762" s="9"/>
      <c r="I1762" s="11"/>
      <c r="J1762" s="11"/>
      <c r="K1762" s="11"/>
      <c r="L1762" s="11"/>
    </row>
    <row r="1763" spans="1:12" ht="14.4">
      <c r="A1763" s="6"/>
      <c r="B1763" s="7"/>
      <c r="C1763" s="6"/>
      <c r="H1763" s="9"/>
      <c r="I1763" s="11"/>
      <c r="J1763" s="11"/>
      <c r="K1763" s="11"/>
      <c r="L1763" s="11"/>
    </row>
    <row r="1764" spans="1:12" ht="14.4">
      <c r="A1764" s="6"/>
      <c r="B1764" s="7"/>
      <c r="C1764" s="6"/>
      <c r="H1764" s="9"/>
      <c r="I1764" s="11"/>
      <c r="J1764" s="11"/>
      <c r="K1764" s="11"/>
      <c r="L1764" s="11"/>
    </row>
    <row r="1765" spans="1:12" ht="14.4">
      <c r="A1765" s="6"/>
      <c r="B1765" s="7"/>
      <c r="C1765" s="6"/>
      <c r="H1765" s="9"/>
      <c r="I1765" s="11"/>
      <c r="J1765" s="11"/>
      <c r="K1765" s="11"/>
      <c r="L1765" s="11"/>
    </row>
    <row r="1766" spans="1:12" ht="14.4">
      <c r="A1766" s="6"/>
      <c r="B1766" s="7"/>
      <c r="C1766" s="6"/>
      <c r="H1766" s="9"/>
      <c r="I1766" s="11"/>
      <c r="J1766" s="11"/>
      <c r="K1766" s="11"/>
      <c r="L1766" s="11"/>
    </row>
    <row r="1767" spans="1:12" ht="14.4">
      <c r="A1767" s="6"/>
      <c r="B1767" s="7"/>
      <c r="C1767" s="6"/>
      <c r="H1767" s="9"/>
      <c r="I1767" s="11"/>
      <c r="J1767" s="11"/>
      <c r="K1767" s="11"/>
      <c r="L1767" s="11"/>
    </row>
    <row r="1768" spans="1:12" ht="14.4">
      <c r="A1768" s="6"/>
      <c r="B1768" s="7"/>
      <c r="C1768" s="6"/>
      <c r="H1768" s="9"/>
      <c r="I1768" s="11"/>
      <c r="J1768" s="11"/>
      <c r="K1768" s="11"/>
      <c r="L1768" s="11"/>
    </row>
    <row r="1769" spans="1:12" ht="14.4">
      <c r="A1769" s="6"/>
      <c r="B1769" s="7"/>
      <c r="C1769" s="6"/>
      <c r="H1769" s="9"/>
      <c r="I1769" s="11"/>
      <c r="J1769" s="11"/>
      <c r="K1769" s="11"/>
      <c r="L1769" s="11"/>
    </row>
    <row r="1770" spans="1:12" ht="14.4">
      <c r="A1770" s="6"/>
      <c r="B1770" s="7"/>
      <c r="C1770" s="6"/>
      <c r="H1770" s="9"/>
      <c r="I1770" s="11"/>
      <c r="J1770" s="11"/>
      <c r="K1770" s="11"/>
      <c r="L1770" s="11"/>
    </row>
    <row r="1771" spans="1:12" ht="14.4">
      <c r="A1771" s="6"/>
      <c r="B1771" s="7"/>
      <c r="C1771" s="6"/>
      <c r="H1771" s="9"/>
      <c r="I1771" s="11"/>
      <c r="J1771" s="11"/>
      <c r="K1771" s="11"/>
      <c r="L1771" s="11"/>
    </row>
    <row r="1772" spans="1:12" ht="14.4">
      <c r="A1772" s="6"/>
      <c r="B1772" s="7"/>
      <c r="C1772" s="6"/>
      <c r="H1772" s="9"/>
      <c r="I1772" s="11"/>
      <c r="J1772" s="11"/>
      <c r="K1772" s="11"/>
      <c r="L1772" s="11"/>
    </row>
    <row r="1773" spans="1:12" ht="14.4">
      <c r="A1773" s="6"/>
      <c r="B1773" s="7"/>
      <c r="C1773" s="6"/>
      <c r="H1773" s="9"/>
      <c r="I1773" s="11"/>
      <c r="J1773" s="11"/>
      <c r="K1773" s="11"/>
      <c r="L1773" s="11"/>
    </row>
    <row r="1774" spans="1:12" ht="14.4">
      <c r="A1774" s="6"/>
      <c r="B1774" s="7"/>
      <c r="C1774" s="6"/>
      <c r="H1774" s="9"/>
      <c r="I1774" s="11"/>
      <c r="J1774" s="11"/>
      <c r="K1774" s="11"/>
      <c r="L1774" s="11"/>
    </row>
    <row r="1775" spans="1:12" ht="14.4">
      <c r="A1775" s="6"/>
      <c r="B1775" s="7"/>
      <c r="C1775" s="6"/>
      <c r="H1775" s="9"/>
      <c r="I1775" s="11"/>
      <c r="J1775" s="11"/>
      <c r="K1775" s="11"/>
      <c r="L1775" s="11"/>
    </row>
    <row r="1776" spans="1:12" ht="14.4">
      <c r="A1776" s="6"/>
      <c r="B1776" s="7"/>
      <c r="C1776" s="6"/>
      <c r="H1776" s="9"/>
      <c r="I1776" s="11"/>
      <c r="J1776" s="11"/>
      <c r="K1776" s="11"/>
      <c r="L1776" s="11"/>
    </row>
    <row r="1777" spans="1:12" ht="14.4">
      <c r="A1777" s="6"/>
      <c r="B1777" s="7"/>
      <c r="C1777" s="6"/>
      <c r="H1777" s="9"/>
      <c r="I1777" s="11"/>
      <c r="J1777" s="11"/>
      <c r="K1777" s="11"/>
      <c r="L1777" s="11"/>
    </row>
    <row r="1778" spans="1:12" ht="14.4">
      <c r="A1778" s="6"/>
      <c r="B1778" s="7"/>
      <c r="C1778" s="6"/>
      <c r="H1778" s="9"/>
      <c r="I1778" s="11"/>
      <c r="J1778" s="11"/>
      <c r="K1778" s="11"/>
      <c r="L1778" s="11"/>
    </row>
    <row r="1779" spans="1:12" ht="14.4">
      <c r="A1779" s="6"/>
      <c r="B1779" s="7"/>
      <c r="C1779" s="6"/>
      <c r="H1779" s="9"/>
      <c r="I1779" s="11"/>
      <c r="J1779" s="11"/>
      <c r="K1779" s="11"/>
      <c r="L1779" s="11"/>
    </row>
    <row r="1780" spans="1:12" ht="14.4">
      <c r="A1780" s="6"/>
      <c r="B1780" s="7"/>
      <c r="C1780" s="6"/>
      <c r="H1780" s="9"/>
      <c r="I1780" s="11"/>
      <c r="J1780" s="11"/>
      <c r="K1780" s="11"/>
      <c r="L1780" s="11"/>
    </row>
    <row r="1781" spans="1:12" ht="14.4">
      <c r="A1781" s="6"/>
      <c r="B1781" s="7"/>
      <c r="C1781" s="6"/>
      <c r="H1781" s="9"/>
      <c r="I1781" s="11"/>
      <c r="J1781" s="11"/>
      <c r="K1781" s="11"/>
      <c r="L1781" s="11"/>
    </row>
    <row r="1782" spans="1:12" ht="14.4">
      <c r="A1782" s="6"/>
      <c r="B1782" s="7"/>
      <c r="C1782" s="6"/>
      <c r="H1782" s="9"/>
      <c r="I1782" s="11"/>
      <c r="J1782" s="11"/>
      <c r="K1782" s="11"/>
      <c r="L1782" s="11"/>
    </row>
    <row r="1783" spans="1:12" ht="14.4">
      <c r="A1783" s="6"/>
      <c r="B1783" s="7"/>
      <c r="C1783" s="6"/>
      <c r="H1783" s="9"/>
      <c r="I1783" s="11"/>
      <c r="J1783" s="11"/>
      <c r="K1783" s="11"/>
      <c r="L1783" s="11"/>
    </row>
    <row r="1784" spans="1:12" ht="14.4">
      <c r="A1784" s="6"/>
      <c r="B1784" s="7"/>
      <c r="C1784" s="6"/>
      <c r="H1784" s="9"/>
      <c r="I1784" s="11"/>
      <c r="J1784" s="11"/>
      <c r="K1784" s="11"/>
      <c r="L1784" s="11"/>
    </row>
    <row r="1785" spans="1:12" ht="14.4">
      <c r="A1785" s="6"/>
      <c r="B1785" s="7"/>
      <c r="C1785" s="6"/>
      <c r="H1785" s="9"/>
      <c r="I1785" s="11"/>
      <c r="J1785" s="11"/>
      <c r="K1785" s="11"/>
      <c r="L1785" s="11"/>
    </row>
    <row r="1786" spans="1:12" ht="14.4">
      <c r="A1786" s="6"/>
      <c r="B1786" s="7"/>
      <c r="C1786" s="6"/>
      <c r="H1786" s="9"/>
      <c r="I1786" s="11"/>
      <c r="J1786" s="11"/>
      <c r="K1786" s="11"/>
      <c r="L1786" s="11"/>
    </row>
    <row r="1787" spans="1:12" ht="14.4">
      <c r="A1787" s="6"/>
      <c r="B1787" s="7"/>
      <c r="C1787" s="6"/>
      <c r="H1787" s="9"/>
      <c r="I1787" s="11"/>
      <c r="J1787" s="11"/>
      <c r="K1787" s="11"/>
      <c r="L1787" s="11"/>
    </row>
    <row r="1788" spans="1:12" ht="14.4">
      <c r="A1788" s="6"/>
      <c r="B1788" s="7"/>
      <c r="C1788" s="6"/>
      <c r="H1788" s="9"/>
      <c r="I1788" s="11"/>
      <c r="J1788" s="11"/>
      <c r="K1788" s="11"/>
      <c r="L1788" s="11"/>
    </row>
    <row r="1789" spans="1:12" ht="14.4">
      <c r="A1789" s="6"/>
      <c r="B1789" s="7"/>
      <c r="C1789" s="6"/>
      <c r="H1789" s="9"/>
      <c r="I1789" s="11"/>
      <c r="J1789" s="11"/>
      <c r="K1789" s="11"/>
      <c r="L1789" s="11"/>
    </row>
    <row r="1790" spans="1:12" ht="14.4">
      <c r="A1790" s="6"/>
      <c r="B1790" s="7"/>
      <c r="C1790" s="6"/>
      <c r="H1790" s="9"/>
      <c r="I1790" s="11"/>
      <c r="J1790" s="11"/>
      <c r="K1790" s="11"/>
      <c r="L1790" s="11"/>
    </row>
    <row r="1791" spans="1:12" ht="14.4">
      <c r="A1791" s="6"/>
      <c r="B1791" s="7"/>
      <c r="C1791" s="6"/>
      <c r="H1791" s="9"/>
      <c r="I1791" s="11"/>
      <c r="J1791" s="11"/>
      <c r="K1791" s="11"/>
      <c r="L1791" s="11"/>
    </row>
    <row r="1792" spans="1:12" ht="14.4">
      <c r="A1792" s="6"/>
      <c r="B1792" s="7"/>
      <c r="C1792" s="6"/>
      <c r="H1792" s="9"/>
      <c r="I1792" s="11"/>
      <c r="J1792" s="11"/>
      <c r="K1792" s="11"/>
      <c r="L1792" s="11"/>
    </row>
    <row r="1793" spans="1:12" ht="14.4">
      <c r="A1793" s="6"/>
      <c r="B1793" s="7"/>
      <c r="C1793" s="6"/>
      <c r="H1793" s="9"/>
      <c r="I1793" s="11"/>
      <c r="J1793" s="11"/>
      <c r="K1793" s="11"/>
      <c r="L1793" s="11"/>
    </row>
    <row r="1794" spans="1:12" ht="14.4">
      <c r="A1794" s="6"/>
      <c r="B1794" s="7"/>
      <c r="C1794" s="6"/>
      <c r="H1794" s="9"/>
      <c r="I1794" s="11"/>
      <c r="J1794" s="11"/>
      <c r="K1794" s="11"/>
      <c r="L1794" s="11"/>
    </row>
    <row r="1795" spans="1:12" ht="14.4">
      <c r="A1795" s="6"/>
      <c r="B1795" s="7"/>
      <c r="C1795" s="6"/>
      <c r="H1795" s="9"/>
      <c r="I1795" s="11"/>
      <c r="J1795" s="11"/>
      <c r="K1795" s="11"/>
      <c r="L1795" s="11"/>
    </row>
    <row r="1796" spans="1:12" ht="14.4">
      <c r="A1796" s="6"/>
      <c r="B1796" s="7"/>
      <c r="C1796" s="6"/>
      <c r="H1796" s="9"/>
      <c r="I1796" s="11"/>
      <c r="J1796" s="11"/>
      <c r="K1796" s="11"/>
      <c r="L1796" s="11"/>
    </row>
    <row r="1797" spans="1:12" ht="14.4">
      <c r="A1797" s="6"/>
      <c r="B1797" s="7"/>
      <c r="C1797" s="6"/>
      <c r="H1797" s="9"/>
      <c r="I1797" s="11"/>
      <c r="J1797" s="11"/>
      <c r="K1797" s="11"/>
      <c r="L1797" s="11"/>
    </row>
    <row r="1798" spans="1:12" ht="14.4">
      <c r="A1798" s="6"/>
      <c r="B1798" s="7"/>
      <c r="C1798" s="6"/>
      <c r="H1798" s="9"/>
      <c r="I1798" s="11"/>
      <c r="J1798" s="11"/>
      <c r="K1798" s="11"/>
      <c r="L1798" s="11"/>
    </row>
    <row r="1799" spans="1:12" ht="14.4">
      <c r="A1799" s="6"/>
      <c r="B1799" s="7"/>
      <c r="C1799" s="6"/>
      <c r="H1799" s="9"/>
      <c r="I1799" s="11"/>
      <c r="J1799" s="11"/>
      <c r="K1799" s="11"/>
      <c r="L1799" s="11"/>
    </row>
    <row r="1800" spans="1:12" ht="14.4">
      <c r="A1800" s="6"/>
      <c r="B1800" s="7"/>
      <c r="C1800" s="6"/>
      <c r="H1800" s="9"/>
      <c r="I1800" s="11"/>
      <c r="J1800" s="11"/>
      <c r="K1800" s="11"/>
      <c r="L1800" s="11"/>
    </row>
    <row r="1801" spans="1:12" ht="14.4">
      <c r="A1801" s="6"/>
      <c r="B1801" s="7"/>
      <c r="C1801" s="6"/>
      <c r="H1801" s="9"/>
      <c r="I1801" s="11"/>
      <c r="J1801" s="11"/>
      <c r="K1801" s="11"/>
      <c r="L1801" s="11"/>
    </row>
    <row r="1802" spans="1:12" ht="14.4">
      <c r="A1802" s="6"/>
      <c r="B1802" s="7"/>
      <c r="C1802" s="6"/>
      <c r="H1802" s="9"/>
      <c r="I1802" s="11"/>
      <c r="J1802" s="11"/>
      <c r="K1802" s="11"/>
      <c r="L1802" s="11"/>
    </row>
    <row r="1803" spans="1:12" ht="14.4">
      <c r="A1803" s="6"/>
      <c r="B1803" s="7"/>
      <c r="C1803" s="6"/>
      <c r="H1803" s="9"/>
      <c r="I1803" s="11"/>
      <c r="J1803" s="11"/>
      <c r="K1803" s="11"/>
      <c r="L1803" s="11"/>
    </row>
    <row r="1804" spans="1:12" ht="14.4">
      <c r="A1804" s="6"/>
      <c r="B1804" s="7"/>
      <c r="C1804" s="6"/>
      <c r="H1804" s="9"/>
      <c r="I1804" s="11"/>
      <c r="J1804" s="11"/>
      <c r="K1804" s="11"/>
      <c r="L1804" s="11"/>
    </row>
    <row r="1805" spans="1:12" ht="14.4">
      <c r="A1805" s="6"/>
      <c r="B1805" s="7"/>
      <c r="C1805" s="6"/>
      <c r="H1805" s="9"/>
      <c r="I1805" s="11"/>
      <c r="J1805" s="11"/>
      <c r="K1805" s="11"/>
      <c r="L1805" s="11"/>
    </row>
    <row r="1806" spans="1:12" ht="14.4">
      <c r="A1806" s="6"/>
      <c r="B1806" s="7"/>
      <c r="C1806" s="6"/>
      <c r="H1806" s="9"/>
      <c r="I1806" s="11"/>
      <c r="J1806" s="11"/>
      <c r="K1806" s="11"/>
      <c r="L1806" s="11"/>
    </row>
    <row r="1807" spans="1:12" ht="14.4">
      <c r="A1807" s="6"/>
      <c r="B1807" s="7"/>
      <c r="C1807" s="6"/>
      <c r="H1807" s="9"/>
      <c r="I1807" s="11"/>
      <c r="J1807" s="11"/>
      <c r="K1807" s="11"/>
      <c r="L1807" s="11"/>
    </row>
    <row r="1808" spans="1:12" ht="14.4">
      <c r="A1808" s="6"/>
      <c r="B1808" s="7"/>
      <c r="C1808" s="6"/>
      <c r="H1808" s="9"/>
      <c r="I1808" s="11"/>
      <c r="J1808" s="11"/>
      <c r="K1808" s="11"/>
      <c r="L1808" s="11"/>
    </row>
    <row r="1809" spans="1:12" ht="14.4">
      <c r="A1809" s="6"/>
      <c r="B1809" s="7"/>
      <c r="C1809" s="6"/>
      <c r="H1809" s="9"/>
      <c r="I1809" s="11"/>
      <c r="J1809" s="11"/>
      <c r="K1809" s="11"/>
      <c r="L1809" s="11"/>
    </row>
    <row r="1810" spans="1:12" ht="14.4">
      <c r="A1810" s="6"/>
      <c r="B1810" s="7"/>
      <c r="C1810" s="6"/>
      <c r="H1810" s="9"/>
      <c r="I1810" s="11"/>
      <c r="J1810" s="11"/>
      <c r="K1810" s="11"/>
      <c r="L1810" s="11"/>
    </row>
    <row r="1811" spans="1:12" ht="14.4">
      <c r="A1811" s="6"/>
      <c r="B1811" s="7"/>
      <c r="C1811" s="6"/>
      <c r="H1811" s="9"/>
      <c r="I1811" s="11"/>
      <c r="J1811" s="11"/>
      <c r="K1811" s="11"/>
      <c r="L1811" s="11"/>
    </row>
    <row r="1812" spans="1:12" ht="14.4">
      <c r="A1812" s="6"/>
      <c r="B1812" s="7"/>
      <c r="C1812" s="6"/>
      <c r="H1812" s="9"/>
      <c r="I1812" s="11"/>
      <c r="J1812" s="11"/>
      <c r="K1812" s="11"/>
      <c r="L1812" s="11"/>
    </row>
    <row r="1813" spans="1:12" ht="14.4">
      <c r="A1813" s="6"/>
      <c r="B1813" s="7"/>
      <c r="C1813" s="6"/>
      <c r="H1813" s="9"/>
      <c r="I1813" s="11"/>
      <c r="J1813" s="11"/>
      <c r="K1813" s="11"/>
      <c r="L1813" s="11"/>
    </row>
    <row r="1814" spans="1:12" ht="14.4">
      <c r="A1814" s="6"/>
      <c r="B1814" s="7"/>
      <c r="C1814" s="6"/>
      <c r="H1814" s="9"/>
      <c r="I1814" s="11"/>
      <c r="J1814" s="11"/>
      <c r="K1814" s="11"/>
      <c r="L1814" s="11"/>
    </row>
    <row r="1815" spans="1:12" ht="14.4">
      <c r="A1815" s="6"/>
      <c r="B1815" s="7"/>
      <c r="C1815" s="6"/>
      <c r="H1815" s="9"/>
      <c r="I1815" s="11"/>
      <c r="J1815" s="11"/>
      <c r="K1815" s="11"/>
      <c r="L1815" s="11"/>
    </row>
    <row r="1816" spans="1:12" ht="14.4">
      <c r="A1816" s="6"/>
      <c r="B1816" s="7"/>
      <c r="C1816" s="6"/>
      <c r="H1816" s="9"/>
      <c r="I1816" s="11"/>
      <c r="J1816" s="11"/>
      <c r="K1816" s="11"/>
      <c r="L1816" s="11"/>
    </row>
    <row r="1817" spans="1:12" ht="14.4">
      <c r="A1817" s="6"/>
      <c r="B1817" s="7"/>
      <c r="C1817" s="6"/>
      <c r="H1817" s="9"/>
      <c r="I1817" s="11"/>
      <c r="J1817" s="11"/>
      <c r="K1817" s="11"/>
      <c r="L1817" s="11"/>
    </row>
    <row r="1818" spans="1:12" ht="14.4">
      <c r="A1818" s="6"/>
      <c r="B1818" s="7"/>
      <c r="C1818" s="6"/>
      <c r="H1818" s="9"/>
      <c r="I1818" s="11"/>
      <c r="J1818" s="11"/>
      <c r="K1818" s="11"/>
      <c r="L1818" s="11"/>
    </row>
    <row r="1819" spans="1:12" ht="14.4">
      <c r="A1819" s="6"/>
      <c r="B1819" s="7"/>
      <c r="C1819" s="6"/>
      <c r="H1819" s="9"/>
      <c r="I1819" s="11"/>
      <c r="J1819" s="11"/>
      <c r="K1819" s="11"/>
      <c r="L1819" s="11"/>
    </row>
    <row r="1820" spans="1:12" ht="14.4">
      <c r="A1820" s="6"/>
      <c r="B1820" s="7"/>
      <c r="C1820" s="6"/>
      <c r="H1820" s="9"/>
      <c r="I1820" s="11"/>
      <c r="J1820" s="11"/>
      <c r="K1820" s="11"/>
      <c r="L1820" s="11"/>
    </row>
    <row r="1821" spans="1:12" ht="14.4">
      <c r="A1821" s="6"/>
      <c r="B1821" s="7"/>
      <c r="C1821" s="6"/>
      <c r="H1821" s="9"/>
      <c r="I1821" s="11"/>
      <c r="J1821" s="11"/>
      <c r="K1821" s="11"/>
      <c r="L1821" s="11"/>
    </row>
    <row r="1822" spans="1:12" ht="14.4">
      <c r="A1822" s="6"/>
      <c r="B1822" s="7"/>
      <c r="C1822" s="6"/>
      <c r="H1822" s="9"/>
      <c r="I1822" s="11"/>
      <c r="J1822" s="11"/>
      <c r="K1822" s="11"/>
      <c r="L1822" s="11"/>
    </row>
    <row r="1823" spans="1:12" ht="14.4">
      <c r="A1823" s="6"/>
      <c r="B1823" s="7"/>
      <c r="C1823" s="6"/>
      <c r="H1823" s="9"/>
      <c r="I1823" s="11"/>
      <c r="J1823" s="11"/>
      <c r="K1823" s="11"/>
      <c r="L1823" s="11"/>
    </row>
    <row r="1824" spans="1:12" ht="14.4">
      <c r="A1824" s="6"/>
      <c r="B1824" s="7"/>
      <c r="C1824" s="6"/>
      <c r="H1824" s="9"/>
      <c r="I1824" s="11"/>
      <c r="J1824" s="11"/>
      <c r="K1824" s="11"/>
      <c r="L1824" s="11"/>
    </row>
    <row r="1825" spans="1:12" ht="14.4">
      <c r="A1825" s="6"/>
      <c r="B1825" s="7"/>
      <c r="C1825" s="6"/>
      <c r="H1825" s="9"/>
      <c r="I1825" s="11"/>
      <c r="J1825" s="11"/>
      <c r="K1825" s="11"/>
      <c r="L1825" s="11"/>
    </row>
    <row r="1826" spans="1:12" ht="14.4">
      <c r="A1826" s="6"/>
      <c r="B1826" s="7"/>
      <c r="C1826" s="6"/>
      <c r="H1826" s="9"/>
      <c r="I1826" s="11"/>
      <c r="J1826" s="11"/>
      <c r="K1826" s="11"/>
      <c r="L1826" s="11"/>
    </row>
    <row r="1827" spans="1:12" ht="14.4">
      <c r="A1827" s="6"/>
      <c r="B1827" s="7"/>
      <c r="C1827" s="6"/>
      <c r="H1827" s="9"/>
      <c r="I1827" s="11"/>
      <c r="J1827" s="11"/>
      <c r="K1827" s="11"/>
      <c r="L1827" s="11"/>
    </row>
    <row r="1828" spans="1:12" ht="14.4">
      <c r="A1828" s="6"/>
      <c r="B1828" s="7"/>
      <c r="C1828" s="6"/>
      <c r="H1828" s="9"/>
      <c r="I1828" s="11"/>
      <c r="J1828" s="11"/>
      <c r="K1828" s="11"/>
      <c r="L1828" s="11"/>
    </row>
    <row r="1829" spans="1:12" ht="14.4">
      <c r="A1829" s="6"/>
      <c r="B1829" s="7"/>
      <c r="C1829" s="6"/>
      <c r="H1829" s="9"/>
      <c r="I1829" s="11"/>
      <c r="J1829" s="11"/>
      <c r="K1829" s="11"/>
      <c r="L1829" s="11"/>
    </row>
    <row r="1830" spans="1:12" ht="14.4">
      <c r="A1830" s="6"/>
      <c r="B1830" s="7"/>
      <c r="C1830" s="6"/>
      <c r="H1830" s="9"/>
      <c r="I1830" s="11"/>
      <c r="J1830" s="11"/>
      <c r="K1830" s="11"/>
      <c r="L1830" s="11"/>
    </row>
  </sheetData>
  <autoFilter ref="A1:Y698" xr:uid="{00000000-0009-0000-0000-000000000000}"/>
  <hyperlinks>
    <hyperlink ref="C24" r:id="rId1" xr:uid="{00000000-0004-0000-0000-000000000000}"/>
    <hyperlink ref="C105" r:id="rId2" xr:uid="{00000000-0004-0000-0000-000001000000}"/>
    <hyperlink ref="C255" r:id="rId3" xr:uid="{00000000-0004-0000-0000-000002000000}"/>
    <hyperlink ref="C322" r:id="rId4" xr:uid="{00000000-0004-0000-0000-000003000000}"/>
    <hyperlink ref="C340" r:id="rId5" xr:uid="{00000000-0004-0000-0000-000004000000}"/>
    <hyperlink ref="C346" r:id="rId6" xr:uid="{00000000-0004-0000-0000-000005000000}"/>
    <hyperlink ref="C387" r:id="rId7" xr:uid="{00000000-0004-0000-0000-000006000000}"/>
    <hyperlink ref="C422" r:id="rId8" xr:uid="{00000000-0004-0000-0000-000007000000}"/>
    <hyperlink ref="C425" r:id="rId9" xr:uid="{00000000-0004-0000-0000-000008000000}"/>
    <hyperlink ref="C426" r:id="rId10" xr:uid="{00000000-0004-0000-0000-000009000000}"/>
    <hyperlink ref="C512" r:id="rId11" xr:uid="{00000000-0004-0000-0000-00000A000000}"/>
    <hyperlink ref="C616" r:id="rId12" xr:uid="{00000000-0004-0000-0000-00000B000000}"/>
    <hyperlink ref="C700" r:id="rId13" xr:uid="{00000000-0004-0000-0000-00000C000000}"/>
    <hyperlink ref="C707" r:id="rId14" xr:uid="{00000000-0004-0000-0000-00000D000000}"/>
    <hyperlink ref="C746" r:id="rId15" xr:uid="{00000000-0004-0000-0000-00000E000000}"/>
    <hyperlink ref="C886" r:id="rId16" xr:uid="{00000000-0004-0000-0000-00000F000000}"/>
    <hyperlink ref="C953" r:id="rId17" xr:uid="{00000000-0004-0000-0000-000010000000}"/>
    <hyperlink ref="C1002" r:id="rId18" xr:uid="{00000000-0004-0000-0000-000011000000}"/>
    <hyperlink ref="C1161" r:id="rId19" xr:uid="{00000000-0004-0000-0000-000012000000}"/>
    <hyperlink ref="C1249" r:id="rId20" xr:uid="{00000000-0004-0000-0000-000013000000}"/>
    <hyperlink ref="C1344" r:id="rId21" xr:uid="{00000000-0004-0000-0000-000014000000}"/>
    <hyperlink ref="C1670" r:id="rId22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9"/>
  <sheetViews>
    <sheetView workbookViewId="0"/>
  </sheetViews>
  <sheetFormatPr baseColWidth="10" defaultColWidth="17.26171875" defaultRowHeight="15" customHeight="1"/>
  <cols>
    <col min="1" max="26" width="10.68359375" customWidth="1"/>
  </cols>
  <sheetData>
    <row r="1" spans="1:1">
      <c r="A1" t="s">
        <v>2404</v>
      </c>
    </row>
    <row r="2" spans="1:1">
      <c r="A2" t="e">
        <f>VLOOKUP(#REF!,Hoja1!A:A,TRUE)</f>
        <v>#REF!</v>
      </c>
    </row>
    <row r="3" spans="1:1">
      <c r="A3" t="str">
        <f>VLOOKUP(Hoja1!A3,Hoja1!A:A,TRUE)</f>
        <v>Abi Cima</v>
      </c>
    </row>
    <row r="4" spans="1:1">
      <c r="A4" t="str">
        <f>VLOOKUP(Hoja1!A4,Hoja1!A:A,TRUE)</f>
        <v>Abi Cima</v>
      </c>
    </row>
    <row r="5" spans="1:1">
      <c r="A5" t="e">
        <f>VLOOKUP(#REF!,Hoja1!A:A,TRUE)</f>
        <v>#REF!</v>
      </c>
    </row>
    <row r="6" spans="1:1">
      <c r="A6" t="str">
        <f>VLOOKUP(Hoja1!A5,Hoja1!A:A,TRUE)</f>
        <v>Abi Cima</v>
      </c>
    </row>
    <row r="7" spans="1:1">
      <c r="A7" t="str">
        <f>VLOOKUP(Hoja1!A6,Hoja1!A:A,TRUE)</f>
        <v>Abi Cima</v>
      </c>
    </row>
    <row r="8" spans="1:1">
      <c r="A8" t="str">
        <f>VLOOKUP(Hoja1!A7,Hoja1!A:A,TRUE)</f>
        <v>Adela Rizzolli</v>
      </c>
    </row>
    <row r="9" spans="1:1">
      <c r="A9" t="str">
        <f>VLOOKUP(Hoja1!A8,Hoja1!A:A,TRUE)</f>
        <v>Adrian Cavallaro</v>
      </c>
    </row>
    <row r="10" spans="1:1">
      <c r="A10" t="str">
        <f>VLOOKUP(Hoja1!A9,Hoja1!A:A,TRUE)</f>
        <v>Adrian Cavallaro</v>
      </c>
    </row>
    <row r="11" spans="1:1">
      <c r="A11" t="str">
        <f>VLOOKUP(Hoja1!A10,Hoja1!A:A,TRUE)</f>
        <v>Adrian Cavallaro</v>
      </c>
    </row>
    <row r="12" spans="1:1">
      <c r="A12" t="str">
        <f>VLOOKUP(Hoja1!A11,Hoja1!A:A,TRUE)</f>
        <v>Adrian Gaitan</v>
      </c>
    </row>
    <row r="13" spans="1:1">
      <c r="A13" t="str">
        <f>VLOOKUP(Hoja1!A12,Hoja1!A:A,TRUE)</f>
        <v>Adrian Gaitan</v>
      </c>
    </row>
    <row r="14" spans="1:1">
      <c r="A14" t="e">
        <f>VLOOKUP(#REF!,Hoja1!A:A,TRUE)</f>
        <v>#REF!</v>
      </c>
    </row>
    <row r="15" spans="1:1">
      <c r="A15" t="str">
        <f>VLOOKUP(Hoja1!A13,Hoja1!A:A,TRUE)</f>
        <v>Adrian Larcamon</v>
      </c>
    </row>
    <row r="16" spans="1:1">
      <c r="A16" t="e">
        <f>VLOOKUP(#REF!,Hoja1!A:A,TRUE)</f>
        <v>#REF!</v>
      </c>
    </row>
    <row r="17" spans="1:1">
      <c r="A17" t="str">
        <f>VLOOKUP(Hoja1!A14,Hoja1!A:A,TRUE)</f>
        <v>Adriana Balcarce</v>
      </c>
    </row>
    <row r="18" spans="1:1">
      <c r="A18" t="str">
        <f>VLOOKUP(Hoja1!A15,Hoja1!A:A,TRUE)</f>
        <v>Adriana Bauab</v>
      </c>
    </row>
    <row r="19" spans="1:1">
      <c r="A19" t="str">
        <f>VLOOKUP(Hoja1!A16,Hoja1!A:A,TRUE)</f>
        <v>Adriana Caprari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7.26171875" defaultRowHeight="15" customHeight="1"/>
  <cols>
    <col min="1" max="26" width="10.6835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Marcu</dc:creator>
  <cp:lastModifiedBy>Claudia Marcu</cp:lastModifiedBy>
  <dcterms:modified xsi:type="dcterms:W3CDTF">2026-03-11T13:33:55Z</dcterms:modified>
</cp:coreProperties>
</file>